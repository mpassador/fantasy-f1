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Resultados 2026" sheetId="2" r:id="rId6"/>
  </sheets>
  <definedNames/>
  <calcPr/>
</workbook>
</file>

<file path=xl/sharedStrings.xml><?xml version="1.0" encoding="utf-8"?>
<sst xmlns="http://schemas.openxmlformats.org/spreadsheetml/2006/main" count="509" uniqueCount="131">
  <si>
    <t>Australia</t>
  </si>
  <si>
    <t>China Sprint</t>
  </si>
  <si>
    <t>China Corrida</t>
  </si>
  <si>
    <t>Japao</t>
  </si>
  <si>
    <t>Pos</t>
  </si>
  <si>
    <t>Time</t>
  </si>
  <si>
    <t>Pts</t>
  </si>
  <si>
    <t>Pos.</t>
  </si>
  <si>
    <t>No.</t>
  </si>
  <si>
    <t>Driver</t>
  </si>
  <si>
    <t>Team</t>
  </si>
  <si>
    <t>Laps</t>
  </si>
  <si>
    <t>Pts.</t>
  </si>
  <si>
    <t>Martines - Liga Martines</t>
  </si>
  <si>
    <t>G. Russell
Mercedes
·#63</t>
  </si>
  <si>
    <t>George Russell</t>
  </si>
  <si>
    <t>Mercedes</t>
  </si>
  <si>
    <t>Kimi Antonelli</t>
  </si>
  <si>
    <t>🇦🇺</t>
  </si>
  <si>
    <t>🇨🇳</t>
  </si>
  <si>
    <t>🇯🇵</t>
  </si>
  <si>
    <t>🇧🇭</t>
  </si>
  <si>
    <t>🇸🇦</t>
  </si>
  <si>
    <t>🇺🇸</t>
  </si>
  <si>
    <t>🇨🇦</t>
  </si>
  <si>
    <t>🇲🇨</t>
  </si>
  <si>
    <t>🇪🇸</t>
  </si>
  <si>
    <t>🇦🇹</t>
  </si>
  <si>
    <t>🏴󠁧󠁢󠁥󠁮󠁧󠁿</t>
  </si>
  <si>
    <t>🇧🇪</t>
  </si>
  <si>
    <t>🇭🇺</t>
  </si>
  <si>
    <t>A.K. Antonelli
Mercedes
·#12</t>
  </si>
  <si>
    <t>🇮🇹</t>
  </si>
  <si>
    <t>2.974s</t>
  </si>
  <si>
    <t>🇦🇿</t>
  </si>
  <si>
    <t>🇸🇬</t>
  </si>
  <si>
    <t>🇲🇽</t>
  </si>
  <si>
    <t>🇧🇷</t>
  </si>
  <si>
    <t>🇶🇦</t>
  </si>
  <si>
    <t>Charles Leclerc</t>
  </si>
  <si>
    <t>Ferrari</t>
  </si>
  <si>
    <t>Piloto</t>
  </si>
  <si>
    <t>Equipe</t>
  </si>
  <si>
    <t>TOTAL</t>
  </si>
  <si>
    <t>Oscar Piastri</t>
  </si>
  <si>
    <t>McLaren</t>
  </si>
  <si>
    <t>Bahrain</t>
  </si>
  <si>
    <t>Arabia Sudita</t>
  </si>
  <si>
    <t>Sprint Miami</t>
  </si>
  <si>
    <t>Race Miami</t>
  </si>
  <si>
    <t>Canada Sprint</t>
  </si>
  <si>
    <t>Canada Race</t>
  </si>
  <si>
    <t>Monaco</t>
  </si>
  <si>
    <t>Barcelona</t>
  </si>
  <si>
    <t>C. Leclerc
Ferrari
·#16</t>
  </si>
  <si>
    <t>Austria</t>
  </si>
  <si>
    <t>15.519s</t>
  </si>
  <si>
    <t>Inglaterra Sprint</t>
  </si>
  <si>
    <t>Inglaterra Race</t>
  </si>
  <si>
    <t>Belgica</t>
  </si>
  <si>
    <t>Hungria</t>
  </si>
  <si>
    <t>Dutch</t>
  </si>
  <si>
    <t>Italia</t>
  </si>
  <si>
    <t>Lewis Hamilton</t>
  </si>
  <si>
    <t>Espanha</t>
  </si>
  <si>
    <t>Azerbaijan</t>
  </si>
  <si>
    <t>Singapura</t>
  </si>
  <si>
    <t>Austin</t>
  </si>
  <si>
    <t>Mexico</t>
  </si>
  <si>
    <t>Brasil</t>
  </si>
  <si>
    <t>Las Vegas</t>
  </si>
  <si>
    <t>Qatar</t>
  </si>
  <si>
    <t>Abu Dhabi</t>
  </si>
  <si>
    <t>Pontos</t>
  </si>
  <si>
    <t>L. Hamilton
Ferrari
·#44</t>
  </si>
  <si>
    <t>16.143s</t>
  </si>
  <si>
    <t>Neto</t>
  </si>
  <si>
    <t>Lando Norris</t>
  </si>
  <si>
    <t>Russell</t>
  </si>
  <si>
    <t>L. Norris
McLaren
·#1</t>
  </si>
  <si>
    <t>51.741s</t>
  </si>
  <si>
    <t>Oliver Bearman</t>
  </si>
  <si>
    <t>Haas F1 Team</t>
  </si>
  <si>
    <t>M. Verstappen
Red Bull
·#3</t>
  </si>
  <si>
    <t>54.617s</t>
  </si>
  <si>
    <t>Pierre Gasly</t>
  </si>
  <si>
    <t>Alpine</t>
  </si>
  <si>
    <t>NA</t>
  </si>
  <si>
    <t>O. Bearman
Haas
·#87</t>
  </si>
  <si>
    <t>1 Lap</t>
  </si>
  <si>
    <t>Liam Lawson</t>
  </si>
  <si>
    <t>Racing Bulls</t>
  </si>
  <si>
    <t>A. Lindblad
RB
·#41</t>
  </si>
  <si>
    <t>Isack Hadjar</t>
  </si>
  <si>
    <t>Red Bull Racing</t>
  </si>
  <si>
    <t>Max Verstappen</t>
  </si>
  <si>
    <t>G. Bortoleto
Audi
·#5</t>
  </si>
  <si>
    <t>Carlos Sainz</t>
  </si>
  <si>
    <t>Williams</t>
  </si>
  <si>
    <t>P. Gasly
Alpine
·#10</t>
  </si>
  <si>
    <t>Franco Colapinto</t>
  </si>
  <si>
    <t>Esteban Ocon</t>
  </si>
  <si>
    <t>Artur</t>
  </si>
  <si>
    <t>Leclerc</t>
  </si>
  <si>
    <t>Time / Retired</t>
  </si>
  <si>
    <t>29:15.045</t>
  </si>
  <si>
    <t>Victor C.</t>
  </si>
  <si>
    <t>Hamilton</t>
  </si>
  <si>
    <t>Gordo</t>
  </si>
  <si>
    <t>Alexander Albon</t>
  </si>
  <si>
    <t>28:50.951</t>
  </si>
  <si>
    <t>Victor M.</t>
  </si>
  <si>
    <t>Arvid Lindblad</t>
  </si>
  <si>
    <t>Armando</t>
  </si>
  <si>
    <t>Rafa</t>
  </si>
  <si>
    <t>Audi</t>
  </si>
  <si>
    <t>Fernando Alonso</t>
  </si>
  <si>
    <t>Aston Martin</t>
  </si>
  <si>
    <t>Marisa</t>
  </si>
  <si>
    <t>Verstappen</t>
  </si>
  <si>
    <t>Red Bull</t>
  </si>
  <si>
    <t>Mo</t>
  </si>
  <si>
    <t>Piastri</t>
  </si>
  <si>
    <t>England Sprint</t>
  </si>
  <si>
    <t>26:12.129</t>
  </si>
  <si>
    <t>England Race</t>
  </si>
  <si>
    <t>https://www.formula1.com/en/results/2026/races</t>
  </si>
  <si>
    <t>Gabriel Bortoleto</t>
  </si>
  <si>
    <t>Belgium</t>
  </si>
  <si>
    <t>Hungary</t>
  </si>
  <si>
    <t>Nico Hulkenberg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</si>
</sst>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rgb="FFFFFFFF"/>
      <name val="Arial"/>
      <scheme val="minor"/>
    </font>
    <font>
      <sz val="9.0"/>
      <color rgb="FF636363"/>
      <name val="Roboto"/>
    </font>
    <font>
      <b/>
      <sz val="12.0"/>
      <color rgb="FF606066"/>
      <name val="&quot;Titillium Web&quot;"/>
    </font>
    <font>
      <b/>
      <sz val="14.0"/>
      <color rgb="FFFF0000"/>
      <name val="Arial"/>
      <scheme val="minor"/>
    </font>
    <font/>
    <font>
      <sz val="11.0"/>
      <color rgb="FF1F1F1F"/>
      <name val="Roboto"/>
    </font>
    <font>
      <sz val="12.0"/>
      <color rgb="FF000000"/>
      <name val="&quot;Titillium Web&quot;"/>
    </font>
    <font>
      <sz val="24.0"/>
      <color rgb="FFFFFFFF"/>
      <name val="Arial"/>
      <scheme val="minor"/>
    </font>
    <font>
      <b/>
      <i/>
      <sz val="12.0"/>
      <color rgb="FFFFFFFF"/>
      <name val="Arial"/>
      <scheme val="minor"/>
    </font>
    <font>
      <sz val="12.0"/>
      <color rgb="FFFFFFFF"/>
      <name val="Arial"/>
      <scheme val="minor"/>
    </font>
    <font>
      <i/>
      <color rgb="FFFFFFFF"/>
      <name val="Arial"/>
      <scheme val="minor"/>
    </font>
    <font>
      <i/>
      <color rgb="FFFF0000"/>
      <name val="Arial"/>
      <scheme val="minor"/>
    </font>
    <font>
      <color theme="1"/>
      <name val="Arial"/>
      <scheme val="minor"/>
    </font>
    <font>
      <i/>
      <color theme="9"/>
      <name val="Arial"/>
      <scheme val="minor"/>
    </font>
    <font>
      <i/>
      <color theme="8"/>
      <name val="Arial"/>
      <scheme val="minor"/>
    </font>
    <font>
      <i/>
      <color rgb="FFD9D9D9"/>
      <name val="Arial"/>
      <scheme val="minor"/>
    </font>
    <font>
      <i/>
      <color theme="4"/>
      <name val="Arial"/>
      <scheme val="minor"/>
    </font>
    <font>
      <u/>
      <color rgb="FFFFFFFF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5F6"/>
        <bgColor rgb="FFF3F5F6"/>
      </patternFill>
    </fill>
  </fills>
  <borders count="5">
    <border/>
    <border>
      <bottom style="medium">
        <color rgb="FFAAAAAA"/>
      </bottom>
    </border>
    <border>
      <bottom style="thin">
        <color rgb="FFFFFFFF"/>
      </bottom>
    </border>
    <border>
      <top style="thin">
        <color rgb="FFD2D2D2"/>
      </top>
    </border>
    <border>
      <bottom style="thin">
        <color rgb="FFE0DEDC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 shrinkToFit="0" wrapText="0"/>
    </xf>
    <xf borderId="0" fillId="3" fontId="2" numFmtId="0" xfId="0" applyAlignment="1" applyFont="1">
      <alignment horizontal="center" readingOrder="0"/>
    </xf>
    <xf borderId="1" fillId="3" fontId="3" numFmtId="0" xfId="0" applyAlignment="1" applyBorder="1" applyFont="1">
      <alignment horizontal="left" readingOrder="0" vertical="top"/>
    </xf>
    <xf borderId="1" fillId="3" fontId="3" numFmtId="0" xfId="0" applyAlignment="1" applyBorder="1" applyFont="1">
      <alignment horizontal="right" readingOrder="0" vertical="top"/>
    </xf>
    <xf borderId="0" fillId="3" fontId="3" numFmtId="0" xfId="0" applyAlignment="1" applyFont="1">
      <alignment horizontal="right" readingOrder="0" vertical="top"/>
    </xf>
    <xf borderId="2" fillId="2" fontId="4" numFmtId="0" xfId="0" applyAlignment="1" applyBorder="1" applyFont="1">
      <alignment horizontal="center" readingOrder="0"/>
    </xf>
    <xf borderId="2" fillId="0" fontId="5" numFmtId="0" xfId="0" applyBorder="1" applyFont="1"/>
    <xf borderId="2" fillId="2" fontId="1" numFmtId="0" xfId="0" applyBorder="1" applyFont="1"/>
    <xf borderId="3" fillId="3" fontId="6" numFmtId="0" xfId="0" applyAlignment="1" applyBorder="1" applyFont="1">
      <alignment horizontal="center" readingOrder="0" shrinkToFit="0" wrapText="0"/>
    </xf>
    <xf borderId="3" fillId="3" fontId="6" numFmtId="0" xfId="0" applyAlignment="1" applyBorder="1" applyFont="1">
      <alignment readingOrder="0" shrinkToFit="0" wrapText="0"/>
    </xf>
    <xf borderId="2" fillId="2" fontId="1" numFmtId="0" xfId="0" applyAlignment="1" applyBorder="1" applyFont="1">
      <alignment readingOrder="0"/>
    </xf>
    <xf borderId="3" fillId="3" fontId="6" numFmtId="21" xfId="0" applyAlignment="1" applyBorder="1" applyFont="1" applyNumberFormat="1">
      <alignment horizontal="center" readingOrder="0"/>
    </xf>
    <xf borderId="3" fillId="3" fontId="6" numFmtId="0" xfId="0" applyAlignment="1" applyBorder="1" applyFont="1">
      <alignment horizontal="center" readingOrder="0"/>
    </xf>
    <xf borderId="4" fillId="3" fontId="7" numFmtId="0" xfId="0" applyAlignment="1" applyBorder="1" applyFont="1">
      <alignment horizontal="left" readingOrder="0" vertical="top"/>
    </xf>
    <xf borderId="4" fillId="3" fontId="7" numFmtId="0" xfId="0" applyAlignment="1" applyBorder="1" applyFont="1">
      <alignment horizontal="right" readingOrder="0" vertical="top"/>
    </xf>
    <xf borderId="2" fillId="2" fontId="1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/>
    </xf>
    <xf borderId="0" fillId="3" fontId="7" numFmtId="0" xfId="0" applyAlignment="1" applyFont="1">
      <alignment horizontal="right" readingOrder="0" vertical="top"/>
    </xf>
    <xf borderId="0" fillId="2" fontId="8" numFmtId="0" xfId="0" applyAlignment="1" applyFont="1">
      <alignment horizontal="center"/>
    </xf>
    <xf borderId="3" fillId="3" fontId="6" numFmtId="49" xfId="0" applyAlignment="1" applyBorder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2" fontId="10" numFmtId="0" xfId="0" applyAlignment="1" applyFont="1">
      <alignment horizontal="center" readingOrder="0" vertical="center"/>
    </xf>
    <xf borderId="0" fillId="2" fontId="11" numFmtId="0" xfId="0" applyAlignment="1" applyFont="1">
      <alignment readingOrder="0"/>
    </xf>
    <xf borderId="0" fillId="2" fontId="11" numFmtId="0" xfId="0" applyAlignment="1" applyFont="1">
      <alignment horizontal="center" readingOrder="0" vertical="center"/>
    </xf>
    <xf borderId="0" fillId="2" fontId="12" numFmtId="0" xfId="0" applyAlignment="1" applyFont="1">
      <alignment horizontal="center" readingOrder="0" vertical="center"/>
    </xf>
    <xf borderId="0" fillId="2" fontId="9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3" fillId="4" fontId="6" numFmtId="0" xfId="0" applyAlignment="1" applyBorder="1" applyFill="1" applyFont="1">
      <alignment horizontal="center" readingOrder="0" shrinkToFit="0" wrapText="0"/>
    </xf>
    <xf borderId="3" fillId="4" fontId="6" numFmtId="0" xfId="0" applyAlignment="1" applyBorder="1" applyFont="1">
      <alignment readingOrder="0" shrinkToFit="0" wrapText="0"/>
    </xf>
    <xf borderId="3" fillId="4" fontId="6" numFmtId="49" xfId="0" applyAlignment="1" applyBorder="1" applyFont="1" applyNumberFormat="1">
      <alignment horizontal="center" readingOrder="0"/>
    </xf>
    <xf borderId="3" fillId="4" fontId="6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4" fillId="3" fontId="7" numFmtId="0" xfId="0" applyAlignment="1" applyBorder="1" applyFont="1">
      <alignment horizontal="left" vertical="top"/>
    </xf>
    <xf borderId="4" fillId="3" fontId="7" numFmtId="21" xfId="0" applyAlignment="1" applyBorder="1" applyFont="1" applyNumberFormat="1">
      <alignment horizontal="left" readingOrder="0" vertical="top"/>
    </xf>
    <xf borderId="0" fillId="2" fontId="14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top"/>
    </xf>
    <xf borderId="0" fillId="2" fontId="15" numFmtId="0" xfId="0" applyAlignment="1" applyFont="1">
      <alignment horizontal="center" readingOrder="0" vertical="center"/>
    </xf>
    <xf borderId="0" fillId="0" fontId="13" numFmtId="0" xfId="0" applyAlignment="1" applyFont="1">
      <alignment readingOrder="0"/>
    </xf>
    <xf borderId="0" fillId="2" fontId="16" numFmtId="0" xfId="0" applyAlignment="1" applyFon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0" fillId="2" fontId="1" numFmtId="0" xfId="0" applyAlignment="1" applyFont="1">
      <alignment readingOrder="0"/>
    </xf>
    <xf borderId="0" fillId="2" fontId="18" numFmtId="0" xfId="0" applyAlignment="1" applyFont="1">
      <alignment readingOrder="0"/>
    </xf>
  </cellXfs>
  <cellStyles count="1">
    <cellStyle xfId="0" name="Normal" builtinId="0"/>
  </cellStyles>
  <dxfs count="1">
    <dxf>
      <font>
        <color theme="0"/>
      </font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04900" cy="276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mula1.com/en/results/2026/rac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9.5"/>
    <col customWidth="1" min="3" max="3" width="11.5"/>
    <col customWidth="1" min="4" max="4" width="10.63"/>
    <col customWidth="1" min="6" max="6" width="7.5"/>
    <col customWidth="1" min="7" max="7" width="10.13"/>
    <col customWidth="1" min="8" max="8" width="11.25"/>
    <col customWidth="1" min="9" max="9" width="5.5"/>
    <col customWidth="1" min="10" max="10" width="6.75"/>
    <col customWidth="1" min="11" max="11" width="11.0"/>
    <col customWidth="1" min="12" max="12" width="10.25"/>
    <col customWidth="1" min="13" max="13" width="9.75"/>
    <col customWidth="1" min="14" max="14" width="11.63"/>
    <col customWidth="1" min="15" max="15" width="11.25"/>
    <col customWidth="1" min="16" max="16" width="6.88"/>
    <col customWidth="1" min="19" max="19" width="12.88"/>
    <col customWidth="1" min="20" max="20" width="12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7" t="s">
        <v>13</v>
      </c>
      <c r="B3" s="8"/>
      <c r="C3" s="8"/>
      <c r="D3" s="8"/>
      <c r="E3" s="7"/>
      <c r="F3" s="7"/>
      <c r="G3" s="9"/>
      <c r="H3" s="9"/>
      <c r="I3" s="9"/>
      <c r="J3" s="9"/>
      <c r="K3" s="9"/>
      <c r="L3" s="9"/>
      <c r="M3" s="9"/>
      <c r="N3" s="12"/>
      <c r="O3" s="12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7"/>
    </row>
    <row r="4" ht="24.0" customHeight="1">
      <c r="A4" s="1"/>
      <c r="B4" s="1"/>
      <c r="C4" s="1"/>
      <c r="D4" s="1"/>
      <c r="E4" s="18"/>
      <c r="F4" s="18" t="s">
        <v>18</v>
      </c>
      <c r="G4" s="18" t="s">
        <v>19</v>
      </c>
      <c r="I4" s="18" t="s">
        <v>20</v>
      </c>
      <c r="J4" s="18" t="s">
        <v>21</v>
      </c>
      <c r="K4" s="19" t="s">
        <v>22</v>
      </c>
      <c r="L4" s="19" t="s">
        <v>23</v>
      </c>
      <c r="N4" s="19" t="s">
        <v>24</v>
      </c>
      <c r="P4" s="19" t="s">
        <v>25</v>
      </c>
      <c r="Q4" s="19" t="s">
        <v>26</v>
      </c>
      <c r="R4" s="19" t="s">
        <v>27</v>
      </c>
      <c r="S4" s="19" t="s">
        <v>28</v>
      </c>
      <c r="U4" s="19" t="s">
        <v>29</v>
      </c>
      <c r="V4" s="19" t="s">
        <v>30</v>
      </c>
      <c r="W4" s="21"/>
      <c r="X4" s="19" t="s">
        <v>32</v>
      </c>
      <c r="Y4" s="19" t="s">
        <v>26</v>
      </c>
      <c r="Z4" s="19" t="s">
        <v>34</v>
      </c>
      <c r="AA4" s="19" t="s">
        <v>35</v>
      </c>
      <c r="AB4" s="19" t="s">
        <v>23</v>
      </c>
      <c r="AC4" s="19" t="s">
        <v>36</v>
      </c>
      <c r="AD4" s="19" t="s">
        <v>37</v>
      </c>
      <c r="AE4" s="19" t="s">
        <v>23</v>
      </c>
      <c r="AF4" s="19" t="s">
        <v>38</v>
      </c>
      <c r="AG4" s="21"/>
      <c r="AH4" s="1"/>
    </row>
    <row r="5">
      <c r="A5" s="23" t="s">
        <v>7</v>
      </c>
      <c r="B5" s="23"/>
      <c r="C5" s="23" t="s">
        <v>41</v>
      </c>
      <c r="D5" s="23" t="s">
        <v>42</v>
      </c>
      <c r="E5" s="24" t="s">
        <v>43</v>
      </c>
      <c r="F5" s="23" t="s">
        <v>0</v>
      </c>
      <c r="G5" s="23" t="s">
        <v>1</v>
      </c>
      <c r="H5" s="23" t="s">
        <v>2</v>
      </c>
      <c r="I5" s="23" t="s">
        <v>3</v>
      </c>
      <c r="J5" s="23" t="s">
        <v>46</v>
      </c>
      <c r="K5" s="23" t="s">
        <v>47</v>
      </c>
      <c r="L5" s="23" t="s">
        <v>48</v>
      </c>
      <c r="M5" s="23" t="s">
        <v>49</v>
      </c>
      <c r="N5" s="23" t="s">
        <v>50</v>
      </c>
      <c r="O5" s="23" t="s">
        <v>51</v>
      </c>
      <c r="P5" s="23" t="s">
        <v>52</v>
      </c>
      <c r="Q5" s="23" t="s">
        <v>53</v>
      </c>
      <c r="R5" s="23" t="s">
        <v>55</v>
      </c>
      <c r="S5" s="23" t="s">
        <v>57</v>
      </c>
      <c r="T5" s="23" t="s">
        <v>58</v>
      </c>
      <c r="U5" s="23" t="s">
        <v>59</v>
      </c>
      <c r="V5" s="23" t="s">
        <v>60</v>
      </c>
      <c r="W5" s="23" t="s">
        <v>61</v>
      </c>
      <c r="X5" s="23" t="s">
        <v>62</v>
      </c>
      <c r="Y5" s="23" t="s">
        <v>64</v>
      </c>
      <c r="Z5" s="23" t="s">
        <v>65</v>
      </c>
      <c r="AA5" s="23" t="s">
        <v>66</v>
      </c>
      <c r="AB5" s="23" t="s">
        <v>67</v>
      </c>
      <c r="AC5" s="23" t="s">
        <v>68</v>
      </c>
      <c r="AD5" s="23" t="s">
        <v>69</v>
      </c>
      <c r="AE5" s="23" t="s">
        <v>70</v>
      </c>
      <c r="AF5" s="23" t="s">
        <v>71</v>
      </c>
      <c r="AG5" s="23" t="s">
        <v>72</v>
      </c>
      <c r="AH5" s="25" t="s">
        <v>73</v>
      </c>
    </row>
    <row r="6">
      <c r="A6" s="23">
        <f>rank(AH6,AH6:AH14)</f>
        <v>4</v>
      </c>
      <c r="B6" s="26" t="s">
        <v>76</v>
      </c>
      <c r="C6" s="27" t="s">
        <v>78</v>
      </c>
      <c r="D6" s="28" t="s">
        <v>40</v>
      </c>
      <c r="E6" s="29">
        <f t="shared" ref="E6:E14" si="1">AH6</f>
        <v>467</v>
      </c>
      <c r="F6" s="30">
        <f>IFERROR(__xludf.DUMMYFUNCTION("IFERROR(FILTER('Resultados 2026'!D3:D12, SEARCH(C6,'Resultados 2026'!B3:B12)),0)+(IFERROR(SUM(FILTER('Resultados 2026'!D3:D12, SEARCH(D6,'Resultados 2026'!B3:B12))),0))"),52.0)</f>
        <v>52</v>
      </c>
      <c r="G6" s="31">
        <f>IFERROR(__xludf.DUMMYFUNCTION("IFERROR(FILTER('Resultados 2026'!J3:J12, SEARCH(C6,'Resultados 2026'!G3:G12)),0)+(IFERROR(SUM(FILTER('Resultados 2026'!J3:J12, SEARCH(D6,'Resultados 2026'!H3:H12))),0))"),21.0)</f>
        <v>21</v>
      </c>
      <c r="H6" s="31">
        <f>IFERROR(__xludf.DUMMYFUNCTION("IFERROR(FILTER('Resultados 2026'!P3:P12, SEARCH(C6,'Resultados 2026'!M3:M12)),0)+(IFERROR(SUM(FILTER('Resultados 2026'!P3:P12, SEARCH(D6,'Resultados 2026'!N3:N12))),0))"),45.0)</f>
        <v>45</v>
      </c>
      <c r="I6" s="30">
        <f>IFERROR(__xludf.DUMMYFUNCTION("IFERROR(FILTER('Resultados 2026'!V3:V12, SEARCH(C6,'Resultados 2026'!S3:S12)),0)+(IFERROR(SUM(FILTER('Resultados 2026'!V3:V12, SEARCH(D6,'Resultados 2026'!T3:T12))),0))"),35.0)</f>
        <v>35</v>
      </c>
      <c r="J6" s="27" t="s">
        <v>87</v>
      </c>
      <c r="K6" s="27" t="s">
        <v>87</v>
      </c>
      <c r="L6" s="31">
        <f>IFERROR(__xludf.DUMMYFUNCTION("IFERROR(FILTER('Resultados 2026'!G16:G24, SEARCH(C6,'Resultados 2026'!C16:C24)),0)+(IFERROR(SUM(FILTER('Resultados 2026'!G16:G24, SEARCH(D6,'Resultados 2026'!D16:D24))),0))"),13.0)</f>
        <v>13</v>
      </c>
      <c r="M6" s="31">
        <f>IFERROR(__xludf.DUMMYFUNCTION("IFERROR(FILTER('Resultados 2026'!G28:G37, SEARCH(C6,'Resultados 2026'!C28:C37)),0)+(IFERROR(SUM(FILTER('Resultados 2026'!G28:G37, SEARCH(D6,'Resultados 2026'!D28:D37))),0))"),24.0)</f>
        <v>24</v>
      </c>
      <c r="N6" s="31">
        <f>IFERROR(__xludf.DUMMYFUNCTION("IFERROR(FILTER('Resultados 2026'!G41:G49, SEARCH(C6,'Resultados 2026'!C41:C49)),0)+(IFERROR(SUM(FILTER('Resultados 2026'!G41:G49, SEARCH(D6,'Resultados 2026'!D41:D49))),0))"),15.0)</f>
        <v>15</v>
      </c>
      <c r="O6" s="31">
        <f>IFERROR(__xludf.DUMMYFUNCTION("IFERROR(FILTER('Resultados 2026'!G53:G62, SEARCH(C6,'Resultados 2026'!C53:C62)),0)+(IFERROR(SUM(FILTER('Resultados 2026'!G53:G62, SEARCH(D6,'Resultados 2026'!D53:D62))),0))"),30.0)</f>
        <v>30</v>
      </c>
      <c r="P6" s="31">
        <f>IFERROR(__xludf.DUMMYFUNCTION("IFERROR(FILTER('Resultados 2026'!G66:G75, SEARCH(C6,'Resultados 2026'!C66:C75)),0)+(IFERROR(SUM(FILTER('Resultados 2026'!G66:G75, SEARCH(D6,'Resultados 2026'!D66:D75))),0))"),18.0)</f>
        <v>18</v>
      </c>
      <c r="Q6" s="31">
        <f>IFERROR(__xludf.DUMMYFUNCTION("IFERROR(FILTER('Resultados 2026'!G79:G88, SEARCH(C6,'Resultados 2026'!C79:C88)),0)+(IFERROR(SUM(FILTER('Resultados 2026'!G79:G88, SEARCH(D6,'Resultados 2026'!D79:D88))),0))"),43.0)</f>
        <v>43</v>
      </c>
      <c r="R6" s="31">
        <f>IFERROR(__xludf.DUMMYFUNCTION("IFERROR(FILTER('Resultados 2026'!G92:G101, SEARCH(C6,'Resultados 2026'!C92:C101)),0)+(IFERROR(SUM(FILTER('Resultados 2026'!G92:G101, SEARCH(D6,'Resultados 2026'!D92:D101))),0))"),39.0)</f>
        <v>39</v>
      </c>
      <c r="S6" s="31">
        <f>IFERROR(__xludf.DUMMYFUNCTION("IFERROR(FILTER('Resultados 2026'!G105:G114, SEARCH(C6,'Resultados 2026'!C105:C114)),0)+(IFERROR(SUM(FILTER('Resultados 2026'!G105:G114, SEARCH(D6,'Resultados 2026'!D105:D114))),0))"),16.0)</f>
        <v>16</v>
      </c>
      <c r="T6" s="31">
        <f>IFERROR(__xludf.DUMMYFUNCTION("IFERROR(FILTER('Resultados 2026'!G118:G127, SEARCH(C6,'Resultados 2026'!C118:C127)),0)+(IFERROR(SUM(FILTER('Resultados 2026'!G118:G127, SEARCH(D6,'Resultados 2026'!D118:D127))),0))"),58.0)</f>
        <v>58</v>
      </c>
      <c r="U6" s="31">
        <f>IFERROR(__xludf.DUMMYFUNCTION("IFERROR(FILTER('Resultados 2026'!G131:G140, SEARCH(C6,'Resultados 2026'!C131:C140)),0)+(IFERROR(SUM(FILTER('Resultados 2026'!G131:G140, SEARCH(D6,'Resultados 2026'!D131:D140))),0))"),30.0)</f>
        <v>30</v>
      </c>
      <c r="V6" s="31">
        <f>IFERROR(__xludf.DUMMYFUNCTION("IFERROR(FILTER('Resultados 2026'!G144:G153, SEARCH(C6,'Resultados 2026'!C144:C153)),0)+(IFERROR(SUM(FILTER('Resultados 2026'!G144:G153, SEARCH(D6,'Resultados 2026'!D144:D153))),0))"),28.0)</f>
        <v>28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>
        <f t="shared" ref="AH6:AH14" si="2">sum(F6:AG6)</f>
        <v>467</v>
      </c>
    </row>
    <row r="7">
      <c r="A7" s="23">
        <f>rank(AH7,AH6:AH14)</f>
        <v>5</v>
      </c>
      <c r="B7" s="26" t="s">
        <v>102</v>
      </c>
      <c r="C7" s="27" t="s">
        <v>103</v>
      </c>
      <c r="D7" s="28" t="s">
        <v>40</v>
      </c>
      <c r="E7" s="29">
        <f t="shared" si="1"/>
        <v>445</v>
      </c>
      <c r="F7" s="30">
        <f>IFERROR(__xludf.DUMMYFUNCTION("IFERROR(FILTER('Resultados 2026'!D3:D12, SEARCH(C7,'Resultados 2026'!B3:B12)),0)+(IFERROR(SUM(FILTER('Resultados 2026'!D3:D12, SEARCH(D7,'Resultados 2026'!B3:B12))),0))"),42.0)</f>
        <v>42</v>
      </c>
      <c r="G7" s="31">
        <f>IFERROR(__xludf.DUMMYFUNCTION("IFERROR(FILTER('Resultados 2026'!J3:J12, SEARCH(C7,'Resultados 2026'!G3:G12)),0)+(IFERROR(SUM(FILTER('Resultados 2026'!J3:J12, SEARCH(D7,'Resultados 2026'!H3:H12))),0))"),20.0)</f>
        <v>20</v>
      </c>
      <c r="H7" s="31">
        <f>IFERROR(__xludf.DUMMYFUNCTION("IFERROR(FILTER('Resultados 2026'!P3:P12, SEARCH(C7,'Resultados 2026'!M3:M12)),0)+(IFERROR(SUM(FILTER('Resultados 2026'!P3:P12, SEARCH(D7,'Resultados 2026'!N3:N12))),0))"),39.0)</f>
        <v>39</v>
      </c>
      <c r="I7" s="31">
        <f>IFERROR(__xludf.DUMMYFUNCTION("IFERROR(FILTER('Resultados 2026'!V3:V12, SEARCH(C7,'Resultados 2026'!S3:S12)),0)+(IFERROR(SUM(FILTER('Resultados 2026'!V3:V12, SEARCH(D7,'Resultados 2026'!T3:T12))),0))"),38.0)</f>
        <v>38</v>
      </c>
      <c r="J7" s="27" t="s">
        <v>87</v>
      </c>
      <c r="K7" s="27" t="s">
        <v>87</v>
      </c>
      <c r="L7" s="31">
        <f>IFERROR(__xludf.DUMMYFUNCTION("IFERROR(FILTER('Resultados 2026'!G16:G24, SEARCH(C7,'Resultados 2026'!C16:C24)),0)+(IFERROR(SUM(FILTER('Resultados 2026'!G16:G24, SEARCH(D7,'Resultados 2026'!D16:D24))),0))"),14.0)</f>
        <v>14</v>
      </c>
      <c r="M7" s="31">
        <f>IFERROR(__xludf.DUMMYFUNCTION("IFERROR(FILTER('Resultados 2026'!G28:G37, SEARCH(C7,'Resultados 2026'!C28:C37)),0)+(IFERROR(SUM(FILTER('Resultados 2026'!G28:G37, SEARCH(D7,'Resultados 2026'!D28:D37))),0))"),16.0)</f>
        <v>16</v>
      </c>
      <c r="N7" s="31">
        <f>IFERROR(__xludf.DUMMYFUNCTION("IFERROR(FILTER('Resultados 2026'!G41:G49, SEARCH(C7,'Resultados 2026'!C41:C49)),0)+(IFERROR(SUM(FILTER('Resultados 2026'!G41:G49, SEARCH(D7,'Resultados 2026'!D41:D49))),0))"),11.0)</f>
        <v>11</v>
      </c>
      <c r="O7" s="31">
        <f>IFERROR(__xludf.DUMMYFUNCTION("IFERROR(FILTER('Resultados 2026'!G53:G62, SEARCH(C7,'Resultados 2026'!C53:C62)),0)+(IFERROR(SUM(FILTER('Resultados 2026'!G53:G62, SEARCH(D7,'Resultados 2026'!D53:D62))),0))"),42.0)</f>
        <v>42</v>
      </c>
      <c r="P7" s="31">
        <f>IFERROR(__xludf.DUMMYFUNCTION("IFERROR(FILTER('Resultados 2026'!G66:G75, SEARCH(C7,'Resultados 2026'!C66:C75)),0)+(IFERROR(SUM(FILTER('Resultados 2026'!G66:G75, SEARCH(D7,'Resultados 2026'!D66:D75))),0))"),18.0)</f>
        <v>18</v>
      </c>
      <c r="Q7" s="31">
        <f>IFERROR(__xludf.DUMMYFUNCTION("IFERROR(FILTER('Resultados 2026'!G79:G88, SEARCH(C7,'Resultados 2026'!C79:C88)),0)+(IFERROR(SUM(FILTER('Resultados 2026'!G79:G88, SEARCH(D7,'Resultados 2026'!D79:D88))),0))"),25.0)</f>
        <v>25</v>
      </c>
      <c r="R7" s="31">
        <f>IFERROR(__xludf.DUMMYFUNCTION("IFERROR(FILTER('Resultados 2026'!G92:G101, SEARCH(C7,'Resultados 2026'!C92:C101)),0)+(IFERROR(SUM(FILTER('Resultados 2026'!G92:G101, SEARCH(D7,'Resultados 2026'!D92:D101))),0))"),18.0)</f>
        <v>18</v>
      </c>
      <c r="S7" s="31">
        <f>IFERROR(__xludf.DUMMYFUNCTION("IFERROR(FILTER('Resultados 2026'!G105:G114, SEARCH(C7,'Resultados 2026'!C105:C114)),0)+(IFERROR(SUM(FILTER('Resultados 2026'!G105:G114, SEARCH(D7,'Resultados 2026'!D105:D114))),0))"),15.0)</f>
        <v>15</v>
      </c>
      <c r="T7" s="31">
        <f>IFERROR(__xludf.DUMMYFUNCTION("IFERROR(FILTER('Resultados 2026'!G118:G127, SEARCH(C7,'Resultados 2026'!C118:C127)),0)+(IFERROR(SUM(FILTER('Resultados 2026'!G118:G127, SEARCH(D7,'Resultados 2026'!D118:D127))),0))"),65.0)</f>
        <v>65</v>
      </c>
      <c r="U7" s="31">
        <f>IFERROR(__xludf.DUMMYFUNCTION("IFERROR(FILTER('Resultados 2026'!G131:G140, SEARCH(C7,'Resultados 2026'!C131:C140)),0)+(IFERROR(SUM(FILTER('Resultados 2026'!G131:G140, SEARCH(D7,'Resultados 2026'!D131:D140))),0))"),48.0)</f>
        <v>48</v>
      </c>
      <c r="V7" s="31">
        <f>IFERROR(__xludf.DUMMYFUNCTION("IFERROR(FILTER('Resultados 2026'!G144:G153, SEARCH(C7,'Resultados 2026'!C144:C153)),0)+(IFERROR(SUM(FILTER('Resultados 2026'!G144:G153, SEARCH(D7,'Resultados 2026'!D144:D153))),0))"),34.0)</f>
        <v>34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>
        <f t="shared" si="2"/>
        <v>445</v>
      </c>
    </row>
    <row r="8">
      <c r="A8" s="23">
        <f>rank(AH8,AH6:AH14)</f>
        <v>3</v>
      </c>
      <c r="B8" s="26" t="s">
        <v>106</v>
      </c>
      <c r="C8" s="27" t="s">
        <v>107</v>
      </c>
      <c r="D8" s="28" t="s">
        <v>40</v>
      </c>
      <c r="E8" s="29">
        <f t="shared" si="1"/>
        <v>476</v>
      </c>
      <c r="F8" s="30">
        <f>IFERROR(__xludf.DUMMYFUNCTION("IFERROR(FILTER('Resultados 2026'!D3:D12, SEARCH(C8,'Resultados 2026'!B3:B12)),0)+(IFERROR(SUM(FILTER('Resultados 2026'!D3:D12, SEARCH(D8,'Resultados 2026'!B3:B12))),0))"),39.0)</f>
        <v>39</v>
      </c>
      <c r="G8" s="31">
        <f>IFERROR(__xludf.DUMMYFUNCTION("IFERROR(FILTER('Resultados 2026'!J3:J12, SEARCH(C8,'Resultados 2026'!G3:G12)),0)+(IFERROR(SUM(FILTER('Resultados 2026'!J3:J12, SEARCH(D8,'Resultados 2026'!H3:H12))),0))"),19.0)</f>
        <v>19</v>
      </c>
      <c r="H8" s="31">
        <f>IFERROR(__xludf.DUMMYFUNCTION("IFERROR(FILTER('Resultados 2026'!P3:P12, SEARCH(C8,'Resultados 2026'!M3:M12)),0)+(IFERROR(SUM(FILTER('Resultados 2026'!P3:P12, SEARCH(D8,'Resultados 2026'!N3:N12))),0))"),42.0)</f>
        <v>42</v>
      </c>
      <c r="I8" s="31">
        <f>IFERROR(__xludf.DUMMYFUNCTION("IFERROR(FILTER('Resultados 2026'!V3:V12, SEARCH(C8,'Resultados 2026'!S3:S12)),0)+(IFERROR(SUM(FILTER('Resultados 2026'!V3:V12, SEARCH(D8,'Resultados 2026'!T3:T12))),0))"),31.0)</f>
        <v>31</v>
      </c>
      <c r="J8" s="27" t="s">
        <v>87</v>
      </c>
      <c r="K8" s="27" t="s">
        <v>87</v>
      </c>
      <c r="L8" s="31">
        <f>IFERROR(__xludf.DUMMYFUNCTION("IFERROR(FILTER('Resultados 2026'!G16:G24, SEARCH(C8,'Resultados 2026'!C16:C24)),0)+(IFERROR(SUM(FILTER('Resultados 2026'!G16:G24, SEARCH(D8,'Resultados 2026'!D16:D24))),0))"),10.0)</f>
        <v>10</v>
      </c>
      <c r="M8" s="31">
        <f>IFERROR(__xludf.DUMMYFUNCTION("IFERROR(FILTER('Resultados 2026'!G28:G37, SEARCH(C8,'Resultados 2026'!C28:C37)),0)+(IFERROR(SUM(FILTER('Resultados 2026'!G28:G37, SEARCH(D8,'Resultados 2026'!D28:D37))),0))"),20.0)</f>
        <v>20</v>
      </c>
      <c r="N8" s="31">
        <f>IFERROR(__xludf.DUMMYFUNCTION("IFERROR(FILTER('Resultados 2026'!G41:G49, SEARCH(C8,'Resultados 2026'!C41:C49)),0)+(IFERROR(SUM(FILTER('Resultados 2026'!G41:G49, SEARCH(D8,'Resultados 2026'!D41:D49))),0))"),10.0)</f>
        <v>10</v>
      </c>
      <c r="O8" s="31">
        <f>IFERROR(__xludf.DUMMYFUNCTION("IFERROR(FILTER('Resultados 2026'!G53:G62, SEARCH(C8,'Resultados 2026'!C53:C62)),0)+(IFERROR(SUM(FILTER('Resultados 2026'!G53:G62, SEARCH(D8,'Resultados 2026'!D53:D62))),0))"),48.0)</f>
        <v>48</v>
      </c>
      <c r="P8" s="31">
        <f>IFERROR(__xludf.DUMMYFUNCTION("IFERROR(FILTER('Resultados 2026'!G66:G75, SEARCH(C8,'Resultados 2026'!C66:C75)),0)+(IFERROR(SUM(FILTER('Resultados 2026'!G66:G75, SEARCH(D8,'Resultados 2026'!D66:D75))),0))"),36.0)</f>
        <v>36</v>
      </c>
      <c r="Q8" s="31">
        <f>IFERROR(__xludf.DUMMYFUNCTION("IFERROR(FILTER('Resultados 2026'!G79:G88, SEARCH(C8,'Resultados 2026'!C79:C88)),0)+(IFERROR(SUM(FILTER('Resultados 2026'!G79:G88, SEARCH(D8,'Resultados 2026'!D79:D88))),0))"),50.0)</f>
        <v>50</v>
      </c>
      <c r="R8" s="31">
        <f>IFERROR(__xludf.DUMMYFUNCTION("IFERROR(FILTER('Resultados 2026'!G92:G101, SEARCH(C8,'Resultados 2026'!C92:C101)),0)+(IFERROR(SUM(FILTER('Resultados 2026'!G92:G101, SEARCH(D8,'Resultados 2026'!D92:D101))),0))"),24.0)</f>
        <v>24</v>
      </c>
      <c r="S8" s="31">
        <f>IFERROR(__xludf.DUMMYFUNCTION("IFERROR(FILTER('Resultados 2026'!G105:G114, SEARCH(C8,'Resultados 2026'!C105:C114)),0)+(IFERROR(SUM(FILTER('Resultados 2026'!G105:G114, SEARCH(D8,'Resultados 2026'!D105:D114))),0))"),18.0)</f>
        <v>18</v>
      </c>
      <c r="T8" s="31">
        <f>IFERROR(__xludf.DUMMYFUNCTION("IFERROR(FILTER('Resultados 2026'!G118:G127, SEARCH(C8,'Resultados 2026'!C118:C127)),0)+(IFERROR(SUM(FILTER('Resultados 2026'!G118:G127, SEARCH(D8,'Resultados 2026'!D118:D127))),0))"),55.0)</f>
        <v>55</v>
      </c>
      <c r="U8" s="31">
        <f>IFERROR(__xludf.DUMMYFUNCTION("IFERROR(FILTER('Resultados 2026'!G131:G140, SEARCH(C8,'Resultados 2026'!C131:C140)),0)+(IFERROR(SUM(FILTER('Resultados 2026'!G131:G140, SEARCH(D8,'Resultados 2026'!D131:D140))),0))"),42.0)</f>
        <v>42</v>
      </c>
      <c r="V8" s="31">
        <f>IFERROR(__xludf.DUMMYFUNCTION("IFERROR(FILTER('Resultados 2026'!G144:G153, SEARCH(C8,'Resultados 2026'!C144:C153)),0)+(IFERROR(SUM(FILTER('Resultados 2026'!G144:G153, SEARCH(D8,'Resultados 2026'!D144:D153))),0))"),32.0)</f>
        <v>32</v>
      </c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>
        <f t="shared" si="2"/>
        <v>476</v>
      </c>
    </row>
    <row r="9">
      <c r="A9" s="23">
        <f>rank(AH9,AH6:AH14)</f>
        <v>1</v>
      </c>
      <c r="B9" s="26" t="s">
        <v>108</v>
      </c>
      <c r="C9" s="27" t="s">
        <v>107</v>
      </c>
      <c r="D9" s="39" t="s">
        <v>16</v>
      </c>
      <c r="E9" s="29">
        <f t="shared" si="1"/>
        <v>548</v>
      </c>
      <c r="F9" s="30">
        <f>IFERROR(__xludf.DUMMYFUNCTION("IFERROR(FILTER('Resultados 2026'!D3:D12, SEARCH(C9,'Resultados 2026'!B3:B12)),0)+(IFERROR(SUM(FILTER('Resultados 2026'!D3:D12, SEARCH(D9,'Resultados 2026'!B3:B12))),0))"),55.0)</f>
        <v>55</v>
      </c>
      <c r="G9" s="31">
        <f>IFERROR(__xludf.DUMMYFUNCTION("IFERROR(FILTER('Resultados 2026'!J3:J12, SEARCH(C9,'Resultados 2026'!G3:G12)),0)+(IFERROR(SUM(FILTER('Resultados 2026'!J3:J12, SEARCH(D9,'Resultados 2026'!H3:H12))),0))"),18.0)</f>
        <v>18</v>
      </c>
      <c r="H9" s="31">
        <f>IFERROR(__xludf.DUMMYFUNCTION("IFERROR(FILTER('Resultados 2026'!P3:P12, SEARCH(C9,'Resultados 2026'!M3:M12)),0)+(IFERROR(SUM(FILTER('Resultados 2026'!P3:P12, SEARCH(D9,'Resultados 2026'!N3:N12))),0))"),58.0)</f>
        <v>58</v>
      </c>
      <c r="I9" s="31">
        <f>IFERROR(__xludf.DUMMYFUNCTION("IFERROR(FILTER('Resultados 2026'!V3:V12, SEARCH(C9,'Resultados 2026'!S3:S12)),0)+(IFERROR(SUM(FILTER('Resultados 2026'!V3:V12, SEARCH(D9,'Resultados 2026'!T3:T12))),0))"),45.0)</f>
        <v>45</v>
      </c>
      <c r="J9" s="27" t="s">
        <v>87</v>
      </c>
      <c r="K9" s="27" t="s">
        <v>87</v>
      </c>
      <c r="L9" s="31">
        <f>IFERROR(__xludf.DUMMYFUNCTION("IFERROR(FILTER('Resultados 2026'!G16:G24, SEARCH(C9,'Resultados 2026'!C16:C24)),0)+(IFERROR(SUM(FILTER('Resultados 2026'!G16:G24, SEARCH(D9,'Resultados 2026'!D16:D24))),0))"),10.0)</f>
        <v>10</v>
      </c>
      <c r="M9" s="31">
        <f>IFERROR(__xludf.DUMMYFUNCTION("IFERROR(FILTER('Resultados 2026'!G28:G37, SEARCH(C9,'Resultados 2026'!C28:C37)),0)+(IFERROR(SUM(FILTER('Resultados 2026'!G28:G37, SEARCH(D9,'Resultados 2026'!D28:D37))),0))"),45.0)</f>
        <v>45</v>
      </c>
      <c r="N9" s="31">
        <f>IFERROR(__xludf.DUMMYFUNCTION("IFERROR(FILTER('Resultados 2026'!G41:G49, SEARCH(C9,'Resultados 2026'!C41:C49)),0)+(IFERROR(SUM(FILTER('Resultados 2026'!G41:G49, SEARCH(D9,'Resultados 2026'!D41:D49))),0))"),17.0)</f>
        <v>17</v>
      </c>
      <c r="O9" s="31">
        <f>IFERROR(__xludf.DUMMYFUNCTION("IFERROR(FILTER('Resultados 2026'!G53:G62, SEARCH(C9,'Resultados 2026'!C53:C62)),0)+(IFERROR(SUM(FILTER('Resultados 2026'!G53:G62, SEARCH(D9,'Resultados 2026'!D53:D62))),0))"),43.0)</f>
        <v>43</v>
      </c>
      <c r="P9" s="31">
        <f>IFERROR(__xludf.DUMMYFUNCTION("IFERROR(FILTER('Resultados 2026'!G66:G75, SEARCH(C9,'Resultados 2026'!C66:C75)),0)+(IFERROR(SUM(FILTER('Resultados 2026'!G66:G75, SEARCH(D9,'Resultados 2026'!D66:D75))),0))"),43.0)</f>
        <v>43</v>
      </c>
      <c r="Q9" s="31">
        <f>IFERROR(__xludf.DUMMYFUNCTION("IFERROR(FILTER('Resultados 2026'!G79:G88, SEARCH(C9,'Resultados 2026'!C79:C88)),0)+(IFERROR(SUM(FILTER('Resultados 2026'!G79:G88, SEARCH(D9,'Resultados 2026'!D79:D88))),0))"),43.0)</f>
        <v>43</v>
      </c>
      <c r="R9" s="31">
        <f>IFERROR(__xludf.DUMMYFUNCTION("IFERROR(FILTER('Resultados 2026'!G92:G101, SEARCH(C9,'Resultados 2026'!C92:C101)),0)+(IFERROR(SUM(FILTER('Resultados 2026'!G92:G101, SEARCH(D9,'Resultados 2026'!D92:D101))),0))"),50.0)</f>
        <v>50</v>
      </c>
      <c r="S9" s="31">
        <f>IFERROR(__xludf.DUMMYFUNCTION("IFERROR(FILTER('Resultados 2026'!G105:G114, SEARCH(C9,'Resultados 2026'!C105:C114)),0)+(IFERROR(SUM(FILTER('Resultados 2026'!G105:G114, SEARCH(D9,'Resultados 2026'!D105:D114))),0))"),20.0)</f>
        <v>20</v>
      </c>
      <c r="T9" s="31">
        <f>IFERROR(__xludf.DUMMYFUNCTION("IFERROR(FILTER('Resultados 2026'!G118:G127, SEARCH(C9,'Resultados 2026'!C118:C127)),0)+(IFERROR(SUM(FILTER('Resultados 2026'!G118:G127, SEARCH(D9,'Resultados 2026'!D118:D127))),0))"),33.0)</f>
        <v>33</v>
      </c>
      <c r="U9" s="31">
        <f>IFERROR(__xludf.DUMMYFUNCTION("IFERROR(FILTER('Resultados 2026'!G131:G140, SEARCH(C9,'Resultados 2026'!C131:C140)),0)+(IFERROR(SUM(FILTER('Resultados 2026'!G131:G140, SEARCH(D9,'Resultados 2026'!D131:D140))),0))"),37.0)</f>
        <v>37</v>
      </c>
      <c r="V9" s="31">
        <f>IFERROR(__xludf.DUMMYFUNCTION("IFERROR(FILTER('Resultados 2026'!G144:G153, SEARCH(C9,'Resultados 2026'!C144:C153)),0)+(IFERROR(SUM(FILTER('Resultados 2026'!G144:G153, SEARCH(D9,'Resultados 2026'!D144:D153))),0))"),31.0)</f>
        <v>31</v>
      </c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>
        <f t="shared" si="2"/>
        <v>548</v>
      </c>
    </row>
    <row r="10">
      <c r="A10" s="23">
        <f>rank(AH10,AH6:AH14)</f>
        <v>1</v>
      </c>
      <c r="B10" s="26" t="s">
        <v>111</v>
      </c>
      <c r="C10" s="27" t="s">
        <v>107</v>
      </c>
      <c r="D10" s="39" t="s">
        <v>16</v>
      </c>
      <c r="E10" s="29">
        <f t="shared" si="1"/>
        <v>548</v>
      </c>
      <c r="F10" s="30">
        <f>IFERROR(__xludf.DUMMYFUNCTION("IFERROR(FILTER('Resultados 2026'!D3:D12, SEARCH(C10,'Resultados 2026'!B3:B12)),0)+(IFERROR(SUM(FILTER('Resultados 2026'!D3:D12, SEARCH(D10,'Resultados 2026'!B3:B12))),0))"),55.0)</f>
        <v>55</v>
      </c>
      <c r="G10" s="31">
        <f>IFERROR(__xludf.DUMMYFUNCTION("IFERROR(FILTER('Resultados 2026'!J3:J12, SEARCH(C10,'Resultados 2026'!G3:G12)),0)+(IFERROR(SUM(FILTER('Resultados 2026'!J3:J12, SEARCH(D10,'Resultados 2026'!H3:H12))),0))"),18.0)</f>
        <v>18</v>
      </c>
      <c r="H10" s="31">
        <f>IFERROR(__xludf.DUMMYFUNCTION("IFERROR(FILTER('Resultados 2026'!P3:P12, SEARCH(C10,'Resultados 2026'!M3:M12)),0)+(IFERROR(SUM(FILTER('Resultados 2026'!P3:P12, SEARCH(D10,'Resultados 2026'!N3:N12))),0))"),58.0)</f>
        <v>58</v>
      </c>
      <c r="I10" s="31">
        <f>IFERROR(__xludf.DUMMYFUNCTION("IFERROR(FILTER('Resultados 2026'!V3:V12, SEARCH(C10,'Resultados 2026'!S3:S12)),0)+(IFERROR(SUM(FILTER('Resultados 2026'!V3:V12, SEARCH(D10,'Resultados 2026'!T3:T12))),0))"),45.0)</f>
        <v>45</v>
      </c>
      <c r="J10" s="27" t="s">
        <v>87</v>
      </c>
      <c r="K10" s="27" t="s">
        <v>87</v>
      </c>
      <c r="L10" s="31">
        <f>IFERROR(__xludf.DUMMYFUNCTION("IFERROR(FILTER('Resultados 2026'!G16:G24, SEARCH(C10,'Resultados 2026'!C16:C24)),0)+(IFERROR(SUM(FILTER('Resultados 2026'!G16:G24, SEARCH(D10,'Resultados 2026'!D16:D24))),0))"),10.0)</f>
        <v>10</v>
      </c>
      <c r="M10" s="31">
        <f>IFERROR(__xludf.DUMMYFUNCTION("IFERROR(FILTER('Resultados 2026'!G28:G37, SEARCH(C10,'Resultados 2026'!C28:C37)),0)+(IFERROR(SUM(FILTER('Resultados 2026'!G28:G37, SEARCH(D10,'Resultados 2026'!D28:D37))),0))"),45.0)</f>
        <v>45</v>
      </c>
      <c r="N10" s="31">
        <f>IFERROR(__xludf.DUMMYFUNCTION("IFERROR(FILTER('Resultados 2026'!G41:G49, SEARCH(C10,'Resultados 2026'!C41:C49)),0)+(IFERROR(SUM(FILTER('Resultados 2026'!G41:G49, SEARCH(D10,'Resultados 2026'!D41:D49))),0))"),17.0)</f>
        <v>17</v>
      </c>
      <c r="O10" s="31">
        <f>IFERROR(__xludf.DUMMYFUNCTION("IFERROR(FILTER('Resultados 2026'!G53:G62, SEARCH(C10,'Resultados 2026'!C53:C62)),0)+(IFERROR(SUM(FILTER('Resultados 2026'!G53:G62, SEARCH(D10,'Resultados 2026'!D53:D62))),0))"),43.0)</f>
        <v>43</v>
      </c>
      <c r="P10" s="31">
        <f>IFERROR(__xludf.DUMMYFUNCTION("IFERROR(FILTER('Resultados 2026'!G66:G75, SEARCH(C10,'Resultados 2026'!C66:C75)),0)+(IFERROR(SUM(FILTER('Resultados 2026'!G66:G75, SEARCH(D10,'Resultados 2026'!D66:D75))),0))"),43.0)</f>
        <v>43</v>
      </c>
      <c r="Q10" s="31">
        <f>IFERROR(__xludf.DUMMYFUNCTION("IFERROR(FILTER('Resultados 2026'!G79:G88, SEARCH(C10,'Resultados 2026'!C79:C88)),0)+(IFERROR(SUM(FILTER('Resultados 2026'!G79:G88, SEARCH(D10,'Resultados 2026'!D79:D88))),0))"),43.0)</f>
        <v>43</v>
      </c>
      <c r="R10" s="31">
        <f>IFERROR(__xludf.DUMMYFUNCTION("IFERROR(FILTER('Resultados 2026'!G92:G101, SEARCH(C10,'Resultados 2026'!C92:C101)),0)+(IFERROR(SUM(FILTER('Resultados 2026'!G92:G101, SEARCH(D10,'Resultados 2026'!D92:D101))),0))"),50.0)</f>
        <v>50</v>
      </c>
      <c r="S10" s="31">
        <f>IFERROR(__xludf.DUMMYFUNCTION("IFERROR(FILTER('Resultados 2026'!G105:G114, SEARCH(C10,'Resultados 2026'!C105:C114)),0)+(IFERROR(SUM(FILTER('Resultados 2026'!G105:G114, SEARCH(D10,'Resultados 2026'!D105:D114))),0))"),20.0)</f>
        <v>20</v>
      </c>
      <c r="T10" s="31">
        <f>IFERROR(__xludf.DUMMYFUNCTION("IFERROR(FILTER('Resultados 2026'!G118:G127, SEARCH(C10,'Resultados 2026'!C118:C127)),0)+(IFERROR(SUM(FILTER('Resultados 2026'!G118:G127, SEARCH(D10,'Resultados 2026'!D118:D127))),0))"),33.0)</f>
        <v>33</v>
      </c>
      <c r="U10" s="31">
        <f>IFERROR(__xludf.DUMMYFUNCTION("IFERROR(FILTER('Resultados 2026'!G131:G140, SEARCH(C10,'Resultados 2026'!C131:C140)),0)+(IFERROR(SUM(FILTER('Resultados 2026'!G131:G140, SEARCH(D10,'Resultados 2026'!D131:D140))),0))"),37.0)</f>
        <v>37</v>
      </c>
      <c r="V10" s="31">
        <f>IFERROR(__xludf.DUMMYFUNCTION("IFERROR(FILTER('Resultados 2026'!G144:G153, SEARCH(C10,'Resultados 2026'!C144:C153)),0)+(IFERROR(SUM(FILTER('Resultados 2026'!G144:G153, SEARCH(D10,'Resultados 2026'!D144:D153))),0))"),31.0)</f>
        <v>31</v>
      </c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>
        <f t="shared" si="2"/>
        <v>548</v>
      </c>
    </row>
    <row r="11">
      <c r="A11" s="23">
        <f>rank(AH11,AH6:AH14)</f>
        <v>7</v>
      </c>
      <c r="B11" s="26" t="s">
        <v>113</v>
      </c>
      <c r="C11" s="27" t="s">
        <v>107</v>
      </c>
      <c r="D11" s="41" t="s">
        <v>45</v>
      </c>
      <c r="E11" s="29">
        <f t="shared" si="1"/>
        <v>391</v>
      </c>
      <c r="F11" s="30">
        <f>IFERROR(__xludf.DUMMYFUNCTION("IFERROR(FILTER('Resultados 2026'!D3:D12, SEARCH(C11,'Resultados 2026'!B3:B12)),0)+(IFERROR(SUM(FILTER('Resultados 2026'!D3:D12, SEARCH(D11,'Resultados 2026'!B3:B12))),0))"),22.0)</f>
        <v>22</v>
      </c>
      <c r="G11" s="31">
        <f>IFERROR(__xludf.DUMMYFUNCTION("IFERROR(FILTER('Resultados 2026'!J3:J12, SEARCH(C11,'Resultados 2026'!G3:G12)),0)+(IFERROR(SUM(FILTER('Resultados 2026'!J3:J12, SEARCH(D11,'Resultados 2026'!H3:H12))),0))"),14.0)</f>
        <v>14</v>
      </c>
      <c r="H11" s="31">
        <f>IFERROR(__xludf.DUMMYFUNCTION("IFERROR(FILTER('Resultados 2026'!P3:P12, SEARCH(C11,'Resultados 2026'!M3:M12)),0)+(IFERROR(SUM(FILTER('Resultados 2026'!P3:P12, SEARCH(D11,'Resultados 2026'!N3:N12))),0))"),15.0)</f>
        <v>15</v>
      </c>
      <c r="I11" s="31">
        <f>IFERROR(__xludf.DUMMYFUNCTION("IFERROR(FILTER('Resultados 2026'!V3:V12, SEARCH(C11,'Resultados 2026'!S3:S12)),0)+(IFERROR(SUM(FILTER('Resultados 2026'!V3:V12, SEARCH(D11,'Resultados 2026'!T3:T12))),0))"),36.0)</f>
        <v>36</v>
      </c>
      <c r="J11" s="27" t="s">
        <v>87</v>
      </c>
      <c r="K11" s="27" t="s">
        <v>87</v>
      </c>
      <c r="L11" s="31">
        <f>IFERROR(__xludf.DUMMYFUNCTION("IFERROR(FILTER('Resultados 2026'!G16:G24, SEARCH(C11,'Resultados 2026'!C16:C24)),0)+(IFERROR(SUM(FILTER('Resultados 2026'!G16:G24, SEARCH(D11,'Resultados 2026'!D16:D24))),0))"),17.0)</f>
        <v>17</v>
      </c>
      <c r="M11" s="31">
        <f>IFERROR(__xludf.DUMMYFUNCTION("IFERROR(FILTER('Resultados 2026'!G28:G37, SEARCH(C11,'Resultados 2026'!C28:C37)),0)+(IFERROR(SUM(FILTER('Resultados 2026'!G28:G37, SEARCH(D11,'Resultados 2026'!D28:D37))),0))"),41.0)</f>
        <v>41</v>
      </c>
      <c r="N11" s="31">
        <f>IFERROR(__xludf.DUMMYFUNCTION("IFERROR(FILTER('Resultados 2026'!G41:G49, SEARCH(C11,'Resultados 2026'!C41:C49)),0)+(IFERROR(SUM(FILTER('Resultados 2026'!G41:G49, SEARCH(D11,'Resultados 2026'!D41:D49))),0))"),15.0)</f>
        <v>15</v>
      </c>
      <c r="O11" s="31">
        <f>IFERROR(__xludf.DUMMYFUNCTION("IFERROR(FILTER('Resultados 2026'!G53:G62, SEARCH(C11,'Resultados 2026'!C53:C62)),0)+(IFERROR(SUM(FILTER('Resultados 2026'!G53:G62, SEARCH(D11,'Resultados 2026'!D53:D62))),0))"),18.0)</f>
        <v>18</v>
      </c>
      <c r="P11" s="31">
        <f>IFERROR(__xludf.DUMMYFUNCTION("IFERROR(FILTER('Resultados 2026'!G66:G75, SEARCH(C11,'Resultados 2026'!C66:C75)),0)+(IFERROR(SUM(FILTER('Resultados 2026'!G66:G75, SEARCH(D11,'Resultados 2026'!D66:D75))),0))"),30.0)</f>
        <v>30</v>
      </c>
      <c r="Q11" s="31">
        <f>IFERROR(__xludf.DUMMYFUNCTION("IFERROR(FILTER('Resultados 2026'!G79:G88, SEARCH(C11,'Resultados 2026'!C79:C88)),0)+(IFERROR(SUM(FILTER('Resultados 2026'!G79:G88, SEARCH(D11,'Resultados 2026'!D79:D88))),0))"),50.0)</f>
        <v>50</v>
      </c>
      <c r="R11" s="31">
        <f>IFERROR(__xludf.DUMMYFUNCTION("IFERROR(FILTER('Resultados 2026'!G92:G101, SEARCH(C11,'Resultados 2026'!C92:C101)),0)+(IFERROR(SUM(FILTER('Resultados 2026'!G92:G101, SEARCH(D11,'Resultados 2026'!D92:D101))),0))"),28.0)</f>
        <v>28</v>
      </c>
      <c r="S11" s="31">
        <f>IFERROR(__xludf.DUMMYFUNCTION("IFERROR(FILTER('Resultados 2026'!G105:G114, SEARCH(C11,'Resultados 2026'!C105:C114)),0)+(IFERROR(SUM(FILTER('Resultados 2026'!G105:G114, SEARCH(D11,'Resultados 2026'!D105:D114))),0))"),15.0)</f>
        <v>15</v>
      </c>
      <c r="T11" s="31">
        <f>IFERROR(__xludf.DUMMYFUNCTION("IFERROR(FILTER('Resultados 2026'!G118:G127, SEARCH(C11,'Resultados 2026'!C118:C127)),0)+(IFERROR(SUM(FILTER('Resultados 2026'!G118:G127, SEARCH(D11,'Resultados 2026'!D118:D127))),0))"),27.0)</f>
        <v>27</v>
      </c>
      <c r="U11" s="31">
        <f>IFERROR(__xludf.DUMMYFUNCTION("IFERROR(FILTER('Resultados 2026'!G131:G140, SEARCH(C11,'Resultados 2026'!C131:C140)),0)+(IFERROR(SUM(FILTER('Resultados 2026'!G131:G140, SEARCH(D11,'Resultados 2026'!D131:D140))),0))"),28.0)</f>
        <v>28</v>
      </c>
      <c r="V11" s="31">
        <f>IFERROR(__xludf.DUMMYFUNCTION("IFERROR(FILTER('Resultados 2026'!G144:G153, SEARCH(C11,'Resultados 2026'!C144:C153)),0)+(IFERROR(SUM(FILTER('Resultados 2026'!G144:G153, SEARCH(D11,'Resultados 2026'!D144:D153))),0))"),35.0)</f>
        <v>35</v>
      </c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>
        <f t="shared" si="2"/>
        <v>391</v>
      </c>
    </row>
    <row r="12">
      <c r="A12" s="23">
        <f>rank(AH12,AH6:AH14)</f>
        <v>9</v>
      </c>
      <c r="B12" s="26" t="s">
        <v>114</v>
      </c>
      <c r="C12" s="27" t="s">
        <v>107</v>
      </c>
      <c r="D12" s="43" t="s">
        <v>115</v>
      </c>
      <c r="E12" s="29">
        <f t="shared" si="1"/>
        <v>181</v>
      </c>
      <c r="F12" s="30">
        <f>IFERROR(__xludf.DUMMYFUNCTION("IFERROR(FILTER('Resultados 2026'!D3:D12, SEARCH(C12,'Resultados 2026'!B3:B12)),0)+(IFERROR(SUM(FILTER('Resultados 2026'!D3:D12, SEARCH(D12,'Resultados 2026'!B3:B12))),0))"),14.0)</f>
        <v>14</v>
      </c>
      <c r="G12" s="31">
        <f>IFERROR(__xludf.DUMMYFUNCTION("IFERROR(FILTER('Resultados 2026'!J3:J12, SEARCH(C12,'Resultados 2026'!G3:G12)),0)+(IFERROR(SUM(FILTER('Resultados 2026'!J3:J12, SEARCH(D12,'Resultados 2026'!H3:H12))),0))"),6.0)</f>
        <v>6</v>
      </c>
      <c r="H12" s="31">
        <f>IFERROR(__xludf.DUMMYFUNCTION("IFERROR(FILTER('Resultados 2026'!P3:P12, SEARCH(C12,'Resultados 2026'!M3:M12)),0)+(IFERROR(SUM(FILTER('Resultados 2026'!P3:P12, SEARCH(D12,'Resultados 2026'!N3:N12))),0))"),15.0)</f>
        <v>15</v>
      </c>
      <c r="I12" s="31">
        <f>IFERROR(__xludf.DUMMYFUNCTION("IFERROR(FILTER('Resultados 2026'!V3:V12, SEARCH(C12,'Resultados 2026'!S3:S12)),0)+(IFERROR(SUM(FILTER('Resultados 2026'!V3:V12, SEARCH(D12,'Resultados 2026'!T3:T12))),0))"),8.0)</f>
        <v>8</v>
      </c>
      <c r="J12" s="27" t="s">
        <v>87</v>
      </c>
      <c r="K12" s="27" t="s">
        <v>87</v>
      </c>
      <c r="L12" s="31">
        <f>IFERROR(__xludf.DUMMYFUNCTION("IFERROR(FILTER('Resultados 2026'!G16:G24, SEARCH(C12,'Resultados 2026'!C16:C24)),0)+(IFERROR(SUM(FILTER('Resultados 2026'!G16:G24, SEARCH(D12,'Resultados 2026'!D16:D24))),0))"),2.0)</f>
        <v>2</v>
      </c>
      <c r="M12" s="31">
        <f>IFERROR(__xludf.DUMMYFUNCTION("IFERROR(FILTER('Resultados 2026'!G28:G37, SEARCH(C12,'Resultados 2026'!C28:C37)),0)+(IFERROR(SUM(FILTER('Resultados 2026'!G28:G37, SEARCH(D12,'Resultados 2026'!D28:D37))),0))"),8.0)</f>
        <v>8</v>
      </c>
      <c r="N12" s="31">
        <f>IFERROR(__xludf.DUMMYFUNCTION("IFERROR(FILTER('Resultados 2026'!G41:G49, SEARCH(C12,'Resultados 2026'!C41:C49)),0)+(IFERROR(SUM(FILTER('Resultados 2026'!G41:G49, SEARCH(D12,'Resultados 2026'!D41:D49))),0))"),3.0)</f>
        <v>3</v>
      </c>
      <c r="O12" s="31">
        <f>IFERROR(__xludf.DUMMYFUNCTION("IFERROR(FILTER('Resultados 2026'!G53:G62, SEARCH(C12,'Resultados 2026'!C53:C62)),0)+(IFERROR(SUM(FILTER('Resultados 2026'!G53:G62, SEARCH(D12,'Resultados 2026'!D53:D62))),0))"),18.0)</f>
        <v>18</v>
      </c>
      <c r="P12" s="31">
        <f>IFERROR(__xludf.DUMMYFUNCTION("IFERROR(FILTER('Resultados 2026'!G66:G75, SEARCH(C12,'Resultados 2026'!C66:C75)),0)+(IFERROR(SUM(FILTER('Resultados 2026'!G66:G75, SEARCH(D12,'Resultados 2026'!D66:D75))),0))"),18.0)</f>
        <v>18</v>
      </c>
      <c r="Q12" s="31">
        <f>IFERROR(__xludf.DUMMYFUNCTION("IFERROR(FILTER('Resultados 2026'!G79:G88, SEARCH(C12,'Resultados 2026'!C79:C88)),0)+(IFERROR(SUM(FILTER('Resultados 2026'!G79:G88, SEARCH(D12,'Resultados 2026'!D79:D88))),0))"),25.0)</f>
        <v>25</v>
      </c>
      <c r="R12" s="31">
        <f>IFERROR(__xludf.DUMMYFUNCTION("IFERROR(FILTER('Resultados 2026'!G92:G101, SEARCH(C12,'Resultados 2026'!C92:C101)),0)+(IFERROR(SUM(FILTER('Resultados 2026'!G92:G101, SEARCH(D12,'Resultados 2026'!D92:D101))),0))"),10.0)</f>
        <v>10</v>
      </c>
      <c r="S12" s="31">
        <f>IFERROR(__xludf.DUMMYFUNCTION("IFERROR(FILTER('Resultados 2026'!G105:G114, SEARCH(C12,'Resultados 2026'!C105:C114)),0)+(IFERROR(SUM(FILTER('Resultados 2026'!G105:G114, SEARCH(D12,'Resultados 2026'!D105:D114))),0))"),7.0)</f>
        <v>7</v>
      </c>
      <c r="T12" s="31">
        <f>IFERROR(__xludf.DUMMYFUNCTION("IFERROR(FILTER('Resultados 2026'!G118:G127, SEARCH(C12,'Resultados 2026'!C118:C127)),0)+(IFERROR(SUM(FILTER('Resultados 2026'!G118:G127, SEARCH(D12,'Resultados 2026'!D118:D127))),0))"),19.0)</f>
        <v>19</v>
      </c>
      <c r="U12" s="31">
        <f>IFERROR(__xludf.DUMMYFUNCTION("IFERROR(FILTER('Resultados 2026'!G131:G140, SEARCH(C12,'Resultados 2026'!C131:C140)),0)+(IFERROR(SUM(FILTER('Resultados 2026'!G131:G140, SEARCH(D12,'Resultados 2026'!D131:D140))),0))"),16.0)</f>
        <v>16</v>
      </c>
      <c r="V12" s="31">
        <f>IFERROR(__xludf.DUMMYFUNCTION("IFERROR(FILTER('Resultados 2026'!G144:G153, SEARCH(C12,'Resultados 2026'!C144:C153)),0)+(IFERROR(SUM(FILTER('Resultados 2026'!G144:G153, SEARCH(D12,'Resultados 2026'!D144:D153))),0))"),12.0)</f>
        <v>12</v>
      </c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>
        <f t="shared" si="2"/>
        <v>181</v>
      </c>
    </row>
    <row r="13">
      <c r="A13" s="23">
        <f>rank(AH13,AH6:AH14)</f>
        <v>8</v>
      </c>
      <c r="B13" s="26" t="s">
        <v>118</v>
      </c>
      <c r="C13" s="27" t="s">
        <v>119</v>
      </c>
      <c r="D13" s="44" t="s">
        <v>120</v>
      </c>
      <c r="E13" s="29">
        <f t="shared" si="1"/>
        <v>289</v>
      </c>
      <c r="F13" s="30">
        <f>IFERROR(__xludf.DUMMYFUNCTION("IFERROR(FILTER('Resultados 2026'!D3:D12, SEARCH(C13,'Resultados 2026'!B3:B12)),0)+(IFERROR(SUM(FILTER('Resultados 2026'!D3:D12, SEARCH(D13,'Resultados 2026'!B3:B12))),0))"),16.0)</f>
        <v>16</v>
      </c>
      <c r="G13" s="31">
        <f>IFERROR(__xludf.DUMMYFUNCTION("IFERROR(FILTER('Resultados 2026'!J3:J12, SEARCH(C13,'Resultados 2026'!G3:G12)),0)+(IFERROR(SUM(FILTER('Resultados 2026'!J3:J12, SEARCH(D13,'Resultados 2026'!H3:H12))),0))"),0.0)</f>
        <v>0</v>
      </c>
      <c r="H13" s="31">
        <f>IFERROR(__xludf.DUMMYFUNCTION("IFERROR(FILTER('Resultados 2026'!P3:P12, SEARCH(C13,'Resultados 2026'!M3:M12)),0)+(IFERROR(SUM(FILTER('Resultados 2026'!P3:P12, SEARCH(D13,'Resultados 2026'!N3:N12))),0))"),4.0)</f>
        <v>4</v>
      </c>
      <c r="I13" s="31">
        <f>IFERROR(__xludf.DUMMYFUNCTION("IFERROR(FILTER('Resultados 2026'!V3:V12, SEARCH(C13,'Resultados 2026'!S3:S12)),0)+(IFERROR(SUM(FILTER('Resultados 2026'!V3:V12, SEARCH(D13,'Resultados 2026'!T3:T12))),0))"),8.0)</f>
        <v>8</v>
      </c>
      <c r="J13" s="27" t="s">
        <v>87</v>
      </c>
      <c r="K13" s="27" t="s">
        <v>87</v>
      </c>
      <c r="L13" s="31">
        <f>IFERROR(__xludf.DUMMYFUNCTION("IFERROR(FILTER('Resultados 2026'!G16:G24, SEARCH(C13,'Resultados 2026'!C16:C24)),0)+(IFERROR(SUM(FILTER('Resultados 2026'!G16:G24, SEARCH(D13,'Resultados 2026'!D16:D24))),0))"),8.0)</f>
        <v>8</v>
      </c>
      <c r="M13" s="31">
        <f>IFERROR(__xludf.DUMMYFUNCTION("IFERROR(FILTER('Resultados 2026'!G28:G37, SEARCH(C13,'Resultados 2026'!C28:C37)),0)+(IFERROR(SUM(FILTER('Resultados 2026'!G28:G37, SEARCH(D13,'Resultados 2026'!D28:D37))),0))"),20.0)</f>
        <v>20</v>
      </c>
      <c r="N13" s="31">
        <f>IFERROR(__xludf.DUMMYFUNCTION("IFERROR(FILTER('Resultados 2026'!G41:G49, SEARCH(C13,'Resultados 2026'!C41:C49)),0)+(IFERROR(SUM(FILTER('Resultados 2026'!G41:G49, SEARCH(D13,'Resultados 2026'!D41:D49))),0))"),4.0)</f>
        <v>4</v>
      </c>
      <c r="O13" s="31">
        <f>IFERROR(__xludf.DUMMYFUNCTION("IFERROR(FILTER('Resultados 2026'!G53:G62, SEARCH(C13,'Resultados 2026'!C53:C62)),0)+(IFERROR(SUM(FILTER('Resultados 2026'!G53:G62, SEARCH(D13,'Resultados 2026'!D53:D62))),0))"),40.0)</f>
        <v>40</v>
      </c>
      <c r="P13" s="31">
        <f>IFERROR(__xludf.DUMMYFUNCTION("IFERROR(FILTER('Resultados 2026'!G66:G75, SEARCH(C13,'Resultados 2026'!C66:C75)),0)+(IFERROR(SUM(FILTER('Resultados 2026'!G66:G75, SEARCH(D13,'Resultados 2026'!D66:D75))),0))"),15.0)</f>
        <v>15</v>
      </c>
      <c r="Q13" s="31">
        <f>IFERROR(__xludf.DUMMYFUNCTION("IFERROR(FILTER('Resultados 2026'!G79:G88, SEARCH(C13,'Resultados 2026'!C79:C88)),0)+(IFERROR(SUM(FILTER('Resultados 2026'!G79:G88, SEARCH(D13,'Resultados 2026'!D79:D88))),0))"),32.0)</f>
        <v>32</v>
      </c>
      <c r="R13" s="31">
        <f>IFERROR(__xludf.DUMMYFUNCTION("IFERROR(FILTER('Resultados 2026'!G92:G101, SEARCH(C13,'Resultados 2026'!C92:C101)),0)+(IFERROR(SUM(FILTER('Resultados 2026'!G92:G101, SEARCH(D13,'Resultados 2026'!D92:D101))),0))"),44.0)</f>
        <v>44</v>
      </c>
      <c r="S13" s="31">
        <f>IFERROR(__xludf.DUMMYFUNCTION("IFERROR(FILTER('Resultados 2026'!G105:G114, SEARCH(C13,'Resultados 2026'!C105:C114)),0)+(IFERROR(SUM(FILTER('Resultados 2026'!G105:G114, SEARCH(D13,'Resultados 2026'!D105:D114))),0))"),6.0)</f>
        <v>6</v>
      </c>
      <c r="T13" s="31">
        <f>IFERROR(__xludf.DUMMYFUNCTION("IFERROR(FILTER('Resultados 2026'!G118:G127, SEARCH(C13,'Resultados 2026'!C118:C127)),0)+(IFERROR(SUM(FILTER('Resultados 2026'!G118:G127, SEARCH(D13,'Resultados 2026'!D118:D127))),0))"),10.0)</f>
        <v>10</v>
      </c>
      <c r="U13" s="31">
        <f>IFERROR(__xludf.DUMMYFUNCTION("IFERROR(FILTER('Resultados 2026'!G131:G140, SEARCH(C13,'Resultados 2026'!C131:C140)),0)+(IFERROR(SUM(FILTER('Resultados 2026'!G131:G140, SEARCH(D13,'Resultados 2026'!D131:D140))),0))"),38.0)</f>
        <v>38</v>
      </c>
      <c r="V13" s="31">
        <f>IFERROR(__xludf.DUMMYFUNCTION("IFERROR(FILTER('Resultados 2026'!G144:G153, SEARCH(C13,'Resultados 2026'!C144:C153)),0)+(IFERROR(SUM(FILTER('Resultados 2026'!G144:G153, SEARCH(D13,'Resultados 2026'!D144:D153))),0))"),44.0)</f>
        <v>44</v>
      </c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>
        <f t="shared" si="2"/>
        <v>289</v>
      </c>
    </row>
    <row r="14">
      <c r="A14" s="23">
        <f>rank(AH14,AH6:AH14)</f>
        <v>6</v>
      </c>
      <c r="B14" s="26" t="s">
        <v>121</v>
      </c>
      <c r="C14" s="27" t="s">
        <v>122</v>
      </c>
      <c r="D14" s="28" t="s">
        <v>40</v>
      </c>
      <c r="E14" s="29">
        <f t="shared" si="1"/>
        <v>401</v>
      </c>
      <c r="F14" s="30">
        <f>IFERROR(__xludf.DUMMYFUNCTION("IFERROR(FILTER('Resultados 2026'!D3:D12, SEARCH(C14,'Resultados 2026'!B3:B12)),0)+(IFERROR(SUM(FILTER('Resultados 2026'!D3:D12, SEARCH(D14,'Resultados 2026'!B3:B12))),0))"),27.0)</f>
        <v>27</v>
      </c>
      <c r="G14" s="31">
        <f>IFERROR(__xludf.DUMMYFUNCTION("IFERROR(FILTER('Resultados 2026'!J3:J12, SEARCH(C14,'Resultados 2026'!G3:G12)),0)+(IFERROR(SUM(FILTER('Resultados 2026'!J3:J12, SEARCH(D14,'Resultados 2026'!H3:H12))),0))"),16.0)</f>
        <v>16</v>
      </c>
      <c r="H14" s="31">
        <f>IFERROR(__xludf.DUMMYFUNCTION("IFERROR(FILTER('Resultados 2026'!P3:P12, SEARCH(C14,'Resultados 2026'!M3:M12)),0)+(IFERROR(SUM(FILTER('Resultados 2026'!P3:P12, SEARCH(D14,'Resultados 2026'!N3:N12))),0))"),27.0)</f>
        <v>27</v>
      </c>
      <c r="I14" s="31">
        <f>IFERROR(__xludf.DUMMYFUNCTION("IFERROR(FILTER('Resultados 2026'!V3:V12, SEARCH(C14,'Resultados 2026'!S3:S12)),0)+(IFERROR(SUM(FILTER('Resultados 2026'!V3:V12, SEARCH(D14,'Resultados 2026'!T3:T12))),0))"),41.0)</f>
        <v>41</v>
      </c>
      <c r="J14" s="27" t="s">
        <v>87</v>
      </c>
      <c r="K14" s="27" t="s">
        <v>87</v>
      </c>
      <c r="L14" s="31">
        <f>IFERROR(__xludf.DUMMYFUNCTION("IFERROR(FILTER('Resultados 2026'!G16:G24, SEARCH(C14,'Resultados 2026'!C16:C24)),0)+(IFERROR(SUM(FILTER('Resultados 2026'!G16:G24, SEARCH(D14,'Resultados 2026'!D16:D24))),0))"),15.0)</f>
        <v>15</v>
      </c>
      <c r="M14" s="31">
        <f>IFERROR(__xludf.DUMMYFUNCTION("IFERROR(FILTER('Resultados 2026'!G28:G37, SEARCH(C14,'Resultados 2026'!C28:C37)),0)+(IFERROR(SUM(FILTER('Resultados 2026'!G28:G37, SEARCH(D14,'Resultados 2026'!D28:D37))),0))"),27.0)</f>
        <v>27</v>
      </c>
      <c r="N14" s="31">
        <f>IFERROR(__xludf.DUMMYFUNCTION("IFERROR(FILTER('Resultados 2026'!G41:G49, SEARCH(C14,'Resultados 2026'!C41:C49)),0)+(IFERROR(SUM(FILTER('Resultados 2026'!G41:G49, SEARCH(D14,'Resultados 2026'!D41:D49))),0))"),12.0)</f>
        <v>12</v>
      </c>
      <c r="O14" s="31">
        <f>IFERROR(__xludf.DUMMYFUNCTION("IFERROR(FILTER('Resultados 2026'!G53:G62, SEARCH(C14,'Resultados 2026'!C53:C62)),0)+(IFERROR(SUM(FILTER('Resultados 2026'!G53:G62, SEARCH(D14,'Resultados 2026'!D53:D62))),0))"),30.0)</f>
        <v>30</v>
      </c>
      <c r="P14" s="31">
        <f>IFERROR(__xludf.DUMMYFUNCTION("IFERROR(FILTER('Resultados 2026'!G66:G75, SEARCH(C14,'Resultados 2026'!C66:C75)),0)+(IFERROR(SUM(FILTER('Resultados 2026'!G66:G75, SEARCH(D14,'Resultados 2026'!D66:D75))),0))"),30.0)</f>
        <v>30</v>
      </c>
      <c r="Q14" s="31">
        <f>IFERROR(__xludf.DUMMYFUNCTION("IFERROR(FILTER('Resultados 2026'!G79:G88, SEARCH(C14,'Resultados 2026'!C79:C88)),0)+(IFERROR(SUM(FILTER('Resultados 2026'!G79:G88, SEARCH(D14,'Resultados 2026'!D79:D88))),0))"),35.0)</f>
        <v>35</v>
      </c>
      <c r="R14" s="31">
        <f>IFERROR(__xludf.DUMMYFUNCTION("IFERROR(FILTER('Resultados 2026'!G92:G101, SEARCH(C14,'Resultados 2026'!C92:C101)),0)+(IFERROR(SUM(FILTER('Resultados 2026'!G92:G101, SEARCH(D14,'Resultados 2026'!D92:D101))),0))"),26.0)</f>
        <v>26</v>
      </c>
      <c r="S14" s="31">
        <f>IFERROR(__xludf.DUMMYFUNCTION("IFERROR(FILTER('Resultados 2026'!G105:G114, SEARCH(C14,'Resultados 2026'!C105:C114)),0)+(IFERROR(SUM(FILTER('Resultados 2026'!G105:G114, SEARCH(D14,'Resultados 2026'!D105:D114))),0))"),13.0)</f>
        <v>13</v>
      </c>
      <c r="T14" s="31">
        <f>IFERROR(__xludf.DUMMYFUNCTION("IFERROR(FILTER('Resultados 2026'!G118:G127, SEARCH(C14,'Resultados 2026'!C118:C127)),0)+(IFERROR(SUM(FILTER('Resultados 2026'!G118:G127, SEARCH(D14,'Resultados 2026'!D118:D127))),0))"),40.0)</f>
        <v>40</v>
      </c>
      <c r="U14" s="31">
        <f>IFERROR(__xludf.DUMMYFUNCTION("IFERROR(FILTER('Resultados 2026'!G131:G140, SEARCH(C14,'Resultados 2026'!C131:C140)),0)+(IFERROR(SUM(FILTER('Resultados 2026'!G131:G140, SEARCH(D14,'Resultados 2026'!D131:D140))),0))"),40.0)</f>
        <v>40</v>
      </c>
      <c r="V14" s="31">
        <f>IFERROR(__xludf.DUMMYFUNCTION("IFERROR(FILTER('Resultados 2026'!G144:G153, SEARCH(C14,'Resultados 2026'!C144:C153)),0)+(IFERROR(SUM(FILTER('Resultados 2026'!G144:G153, SEARCH(D14,'Resultados 2026'!D144:D153))),0))"),22.0)</f>
        <v>22</v>
      </c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>
        <f t="shared" si="2"/>
        <v>401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4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>
      <c r="A23" s="46" t="s">
        <v>126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</sheetData>
  <mergeCells count="5">
    <mergeCell ref="A3:D3"/>
    <mergeCell ref="G4:H4"/>
    <mergeCell ref="L4:M4"/>
    <mergeCell ref="N4:O4"/>
    <mergeCell ref="S4:T4"/>
  </mergeCells>
  <conditionalFormatting sqref="A6:A14">
    <cfRule type="cellIs" dxfId="0" priority="1" operator="equal">
      <formula>1</formula>
    </cfRule>
  </conditionalFormatting>
  <hyperlinks>
    <hyperlink r:id="rId1" ref="A2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5.13"/>
    <col customWidth="1" min="18" max="18" width="4.0"/>
  </cols>
  <sheetData>
    <row r="1">
      <c r="A1" s="2" t="s">
        <v>0</v>
      </c>
      <c r="E1" s="3" t="s">
        <v>1</v>
      </c>
      <c r="K1" s="3" t="s">
        <v>2</v>
      </c>
      <c r="Q1" s="3" t="s">
        <v>3</v>
      </c>
    </row>
    <row r="2">
      <c r="A2" s="2" t="s">
        <v>4</v>
      </c>
      <c r="B2" s="3"/>
      <c r="C2" s="3" t="s">
        <v>5</v>
      </c>
      <c r="D2" s="3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5" t="s">
        <v>12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5" t="s">
        <v>12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5" t="s">
        <v>12</v>
      </c>
      <c r="W2" s="6"/>
      <c r="X2" s="6"/>
      <c r="Y2" s="6"/>
      <c r="Z2" s="6"/>
      <c r="AA2" s="6"/>
      <c r="AB2" s="6"/>
      <c r="AC2" s="6"/>
    </row>
    <row r="3">
      <c r="A3" s="10">
        <v>1.0</v>
      </c>
      <c r="B3" s="11" t="s">
        <v>14</v>
      </c>
      <c r="C3" s="13">
        <v>0.05771760416666667</v>
      </c>
      <c r="D3" s="14">
        <v>25.0</v>
      </c>
      <c r="E3" s="15">
        <v>1.0</v>
      </c>
      <c r="F3" s="15">
        <v>63.0</v>
      </c>
      <c r="G3" s="15" t="s">
        <v>15</v>
      </c>
      <c r="H3" s="15" t="s">
        <v>16</v>
      </c>
      <c r="I3" s="15">
        <v>19.0</v>
      </c>
      <c r="J3" s="16">
        <v>8.0</v>
      </c>
      <c r="K3" s="15">
        <v>1.0</v>
      </c>
      <c r="L3" s="15">
        <v>12.0</v>
      </c>
      <c r="M3" s="15" t="s">
        <v>17</v>
      </c>
      <c r="N3" s="15" t="s">
        <v>16</v>
      </c>
      <c r="O3" s="15">
        <v>56.0</v>
      </c>
      <c r="P3" s="16">
        <v>25.0</v>
      </c>
      <c r="Q3" s="15">
        <v>1.0</v>
      </c>
      <c r="R3" s="15">
        <v>12.0</v>
      </c>
      <c r="S3" s="15" t="s">
        <v>17</v>
      </c>
      <c r="T3" s="15" t="s">
        <v>16</v>
      </c>
      <c r="U3" s="15">
        <v>53.0</v>
      </c>
      <c r="V3" s="16">
        <v>25.0</v>
      </c>
      <c r="W3" s="20"/>
      <c r="X3" s="20"/>
      <c r="Y3" s="20"/>
      <c r="Z3" s="20"/>
      <c r="AA3" s="20"/>
      <c r="AB3" s="20"/>
      <c r="AC3" s="20"/>
    </row>
    <row r="4">
      <c r="A4" s="10">
        <v>2.0</v>
      </c>
      <c r="B4" s="11" t="s">
        <v>31</v>
      </c>
      <c r="C4" s="22" t="s">
        <v>33</v>
      </c>
      <c r="D4" s="14">
        <v>18.0</v>
      </c>
      <c r="E4" s="15">
        <v>2.0</v>
      </c>
      <c r="F4" s="15">
        <v>16.0</v>
      </c>
      <c r="G4" s="15" t="s">
        <v>39</v>
      </c>
      <c r="H4" s="15" t="s">
        <v>40</v>
      </c>
      <c r="I4" s="15">
        <v>19.0</v>
      </c>
      <c r="J4" s="16">
        <v>7.0</v>
      </c>
      <c r="K4" s="15">
        <v>2.0</v>
      </c>
      <c r="L4" s="15">
        <v>63.0</v>
      </c>
      <c r="M4" s="15" t="s">
        <v>15</v>
      </c>
      <c r="N4" s="15" t="s">
        <v>16</v>
      </c>
      <c r="O4" s="15">
        <v>56.0</v>
      </c>
      <c r="P4" s="16">
        <v>18.0</v>
      </c>
      <c r="Q4" s="15">
        <v>2.0</v>
      </c>
      <c r="R4" s="15">
        <v>81.0</v>
      </c>
      <c r="S4" s="15" t="s">
        <v>44</v>
      </c>
      <c r="T4" s="15" t="s">
        <v>45</v>
      </c>
      <c r="U4" s="15">
        <v>53.0</v>
      </c>
      <c r="V4" s="16">
        <v>18.0</v>
      </c>
      <c r="W4" s="20"/>
      <c r="X4" s="20"/>
      <c r="Y4" s="20"/>
      <c r="Z4" s="20"/>
      <c r="AA4" s="20"/>
      <c r="AB4" s="20"/>
      <c r="AC4" s="20"/>
    </row>
    <row r="5">
      <c r="A5" s="10">
        <v>3.0</v>
      </c>
      <c r="B5" s="11" t="s">
        <v>54</v>
      </c>
      <c r="C5" s="22" t="s">
        <v>56</v>
      </c>
      <c r="D5" s="14">
        <v>15.0</v>
      </c>
      <c r="E5" s="15">
        <v>3.0</v>
      </c>
      <c r="F5" s="15">
        <v>44.0</v>
      </c>
      <c r="G5" s="15" t="s">
        <v>63</v>
      </c>
      <c r="H5" s="15" t="s">
        <v>40</v>
      </c>
      <c r="I5" s="15">
        <v>19.0</v>
      </c>
      <c r="J5" s="16">
        <v>6.0</v>
      </c>
      <c r="K5" s="15">
        <v>3.0</v>
      </c>
      <c r="L5" s="15">
        <v>44.0</v>
      </c>
      <c r="M5" s="15" t="s">
        <v>63</v>
      </c>
      <c r="N5" s="15" t="s">
        <v>40</v>
      </c>
      <c r="O5" s="15">
        <v>56.0</v>
      </c>
      <c r="P5" s="16">
        <v>15.0</v>
      </c>
      <c r="Q5" s="15">
        <v>3.0</v>
      </c>
      <c r="R5" s="15">
        <v>16.0</v>
      </c>
      <c r="S5" s="15" t="s">
        <v>39</v>
      </c>
      <c r="T5" s="15" t="s">
        <v>40</v>
      </c>
      <c r="U5" s="15">
        <v>53.0</v>
      </c>
      <c r="V5" s="16">
        <v>15.0</v>
      </c>
      <c r="W5" s="20"/>
      <c r="X5" s="20"/>
      <c r="Y5" s="20"/>
      <c r="Z5" s="20"/>
      <c r="AA5" s="20"/>
      <c r="AB5" s="20"/>
      <c r="AC5" s="20"/>
    </row>
    <row r="6">
      <c r="A6" s="10">
        <v>4.0</v>
      </c>
      <c r="B6" s="11" t="s">
        <v>74</v>
      </c>
      <c r="C6" s="22" t="s">
        <v>75</v>
      </c>
      <c r="D6" s="14">
        <v>12.0</v>
      </c>
      <c r="E6" s="15">
        <v>4.0</v>
      </c>
      <c r="F6" s="15">
        <v>1.0</v>
      </c>
      <c r="G6" s="15" t="s">
        <v>77</v>
      </c>
      <c r="H6" s="15" t="s">
        <v>45</v>
      </c>
      <c r="I6" s="15">
        <v>19.0</v>
      </c>
      <c r="J6" s="16">
        <v>5.0</v>
      </c>
      <c r="K6" s="15">
        <v>4.0</v>
      </c>
      <c r="L6" s="15">
        <v>16.0</v>
      </c>
      <c r="M6" s="15" t="s">
        <v>39</v>
      </c>
      <c r="N6" s="15" t="s">
        <v>40</v>
      </c>
      <c r="O6" s="15">
        <v>56.0</v>
      </c>
      <c r="P6" s="16">
        <v>12.0</v>
      </c>
      <c r="Q6" s="15">
        <v>4.0</v>
      </c>
      <c r="R6" s="15">
        <v>63.0</v>
      </c>
      <c r="S6" s="15" t="s">
        <v>15</v>
      </c>
      <c r="T6" s="15" t="s">
        <v>16</v>
      </c>
      <c r="U6" s="15">
        <v>53.0</v>
      </c>
      <c r="V6" s="16">
        <v>12.0</v>
      </c>
      <c r="W6" s="20"/>
      <c r="X6" s="20"/>
      <c r="Y6" s="20"/>
      <c r="Z6" s="20"/>
      <c r="AA6" s="20"/>
      <c r="AB6" s="20"/>
      <c r="AC6" s="20"/>
    </row>
    <row r="7">
      <c r="A7" s="10">
        <v>5.0</v>
      </c>
      <c r="B7" s="11" t="s">
        <v>79</v>
      </c>
      <c r="C7" s="22" t="s">
        <v>80</v>
      </c>
      <c r="D7" s="14">
        <v>10.0</v>
      </c>
      <c r="E7" s="15">
        <v>5.0</v>
      </c>
      <c r="F7" s="15">
        <v>12.0</v>
      </c>
      <c r="G7" s="15" t="s">
        <v>17</v>
      </c>
      <c r="H7" s="15" t="s">
        <v>16</v>
      </c>
      <c r="I7" s="15">
        <v>19.0</v>
      </c>
      <c r="J7" s="16">
        <v>4.0</v>
      </c>
      <c r="K7" s="15">
        <v>5.0</v>
      </c>
      <c r="L7" s="15">
        <v>87.0</v>
      </c>
      <c r="M7" s="15" t="s">
        <v>81</v>
      </c>
      <c r="N7" s="15" t="s">
        <v>82</v>
      </c>
      <c r="O7" s="15">
        <v>56.0</v>
      </c>
      <c r="P7" s="16">
        <v>10.0</v>
      </c>
      <c r="Q7" s="15">
        <v>5.0</v>
      </c>
      <c r="R7" s="15">
        <v>1.0</v>
      </c>
      <c r="S7" s="15" t="s">
        <v>77</v>
      </c>
      <c r="T7" s="15" t="s">
        <v>45</v>
      </c>
      <c r="U7" s="15">
        <v>53.0</v>
      </c>
      <c r="V7" s="16">
        <v>10.0</v>
      </c>
      <c r="W7" s="20"/>
      <c r="X7" s="20"/>
      <c r="Y7" s="20"/>
      <c r="Z7" s="20"/>
      <c r="AA7" s="20"/>
      <c r="AB7" s="20"/>
      <c r="AC7" s="20"/>
    </row>
    <row r="8">
      <c r="A8" s="10">
        <v>6.0</v>
      </c>
      <c r="B8" s="11" t="s">
        <v>83</v>
      </c>
      <c r="C8" s="22" t="s">
        <v>84</v>
      </c>
      <c r="D8" s="14">
        <v>8.0</v>
      </c>
      <c r="E8" s="15">
        <v>6.0</v>
      </c>
      <c r="F8" s="15">
        <v>81.0</v>
      </c>
      <c r="G8" s="15" t="s">
        <v>44</v>
      </c>
      <c r="H8" s="15" t="s">
        <v>45</v>
      </c>
      <c r="I8" s="15">
        <v>19.0</v>
      </c>
      <c r="J8" s="16">
        <v>3.0</v>
      </c>
      <c r="K8" s="15">
        <v>6.0</v>
      </c>
      <c r="L8" s="15">
        <v>10.0</v>
      </c>
      <c r="M8" s="15" t="s">
        <v>85</v>
      </c>
      <c r="N8" s="15" t="s">
        <v>86</v>
      </c>
      <c r="O8" s="15">
        <v>56.0</v>
      </c>
      <c r="P8" s="16">
        <v>8.0</v>
      </c>
      <c r="Q8" s="15">
        <v>6.0</v>
      </c>
      <c r="R8" s="15">
        <v>44.0</v>
      </c>
      <c r="S8" s="15" t="s">
        <v>63</v>
      </c>
      <c r="T8" s="15" t="s">
        <v>40</v>
      </c>
      <c r="U8" s="15">
        <v>53.0</v>
      </c>
      <c r="V8" s="16">
        <v>8.0</v>
      </c>
      <c r="W8" s="20"/>
      <c r="X8" s="20"/>
      <c r="Y8" s="20"/>
      <c r="Z8" s="20"/>
      <c r="AA8" s="20"/>
      <c r="AB8" s="20"/>
      <c r="AC8" s="20"/>
    </row>
    <row r="9">
      <c r="A9" s="10">
        <v>7.0</v>
      </c>
      <c r="B9" s="11" t="s">
        <v>88</v>
      </c>
      <c r="C9" s="22" t="s">
        <v>89</v>
      </c>
      <c r="D9" s="14">
        <v>6.0</v>
      </c>
      <c r="E9" s="15">
        <v>7.0</v>
      </c>
      <c r="F9" s="15">
        <v>30.0</v>
      </c>
      <c r="G9" s="15" t="s">
        <v>90</v>
      </c>
      <c r="H9" s="15" t="s">
        <v>91</v>
      </c>
      <c r="I9" s="15">
        <v>19.0</v>
      </c>
      <c r="J9" s="16">
        <v>2.0</v>
      </c>
      <c r="K9" s="15">
        <v>7.0</v>
      </c>
      <c r="L9" s="15">
        <v>30.0</v>
      </c>
      <c r="M9" s="15" t="s">
        <v>90</v>
      </c>
      <c r="N9" s="15" t="s">
        <v>91</v>
      </c>
      <c r="O9" s="15">
        <v>56.0</v>
      </c>
      <c r="P9" s="16">
        <v>6.0</v>
      </c>
      <c r="Q9" s="15">
        <v>7.0</v>
      </c>
      <c r="R9" s="15">
        <v>10.0</v>
      </c>
      <c r="S9" s="15" t="s">
        <v>85</v>
      </c>
      <c r="T9" s="15" t="s">
        <v>86</v>
      </c>
      <c r="U9" s="15">
        <v>53.0</v>
      </c>
      <c r="V9" s="16">
        <v>6.0</v>
      </c>
      <c r="W9" s="20"/>
      <c r="X9" s="20"/>
      <c r="Y9" s="20"/>
      <c r="Z9" s="20"/>
      <c r="AA9" s="20"/>
      <c r="AB9" s="20"/>
      <c r="AC9" s="20"/>
    </row>
    <row r="10">
      <c r="A10" s="10">
        <v>8.0</v>
      </c>
      <c r="B10" s="11" t="s">
        <v>92</v>
      </c>
      <c r="C10" s="22" t="s">
        <v>89</v>
      </c>
      <c r="D10" s="14">
        <v>4.0</v>
      </c>
      <c r="E10" s="15">
        <v>8.0</v>
      </c>
      <c r="F10" s="15">
        <v>87.0</v>
      </c>
      <c r="G10" s="15" t="s">
        <v>81</v>
      </c>
      <c r="H10" s="15" t="s">
        <v>82</v>
      </c>
      <c r="I10" s="15">
        <v>19.0</v>
      </c>
      <c r="J10" s="16">
        <v>1.0</v>
      </c>
      <c r="K10" s="15">
        <v>8.0</v>
      </c>
      <c r="L10" s="15">
        <v>6.0</v>
      </c>
      <c r="M10" s="15" t="s">
        <v>93</v>
      </c>
      <c r="N10" s="15" t="s">
        <v>94</v>
      </c>
      <c r="O10" s="15">
        <v>56.0</v>
      </c>
      <c r="P10" s="16">
        <v>4.0</v>
      </c>
      <c r="Q10" s="15">
        <v>8.0</v>
      </c>
      <c r="R10" s="15">
        <v>3.0</v>
      </c>
      <c r="S10" s="15" t="s">
        <v>95</v>
      </c>
      <c r="T10" s="15" t="s">
        <v>94</v>
      </c>
      <c r="U10" s="15">
        <v>53.0</v>
      </c>
      <c r="V10" s="16">
        <v>4.0</v>
      </c>
      <c r="W10" s="20"/>
      <c r="X10" s="20"/>
      <c r="Y10" s="20"/>
      <c r="Z10" s="20"/>
      <c r="AA10" s="20"/>
      <c r="AB10" s="20"/>
      <c r="AC10" s="20"/>
    </row>
    <row r="11">
      <c r="A11" s="10">
        <v>9.0</v>
      </c>
      <c r="B11" s="11" t="s">
        <v>96</v>
      </c>
      <c r="C11" s="22" t="s">
        <v>89</v>
      </c>
      <c r="D11" s="14">
        <v>2.0</v>
      </c>
      <c r="K11" s="15">
        <v>9.0</v>
      </c>
      <c r="L11" s="15">
        <v>55.0</v>
      </c>
      <c r="M11" s="15" t="s">
        <v>97</v>
      </c>
      <c r="N11" s="15" t="s">
        <v>98</v>
      </c>
      <c r="O11" s="15">
        <v>55.0</v>
      </c>
      <c r="P11" s="16">
        <v>2.0</v>
      </c>
      <c r="Q11" s="15">
        <v>9.0</v>
      </c>
      <c r="R11" s="15">
        <v>30.0</v>
      </c>
      <c r="S11" s="15" t="s">
        <v>90</v>
      </c>
      <c r="T11" s="15" t="s">
        <v>91</v>
      </c>
      <c r="U11" s="15">
        <v>53.0</v>
      </c>
      <c r="V11" s="16">
        <v>2.0</v>
      </c>
      <c r="W11" s="20"/>
      <c r="X11" s="20"/>
      <c r="Y11" s="20"/>
      <c r="Z11" s="20"/>
      <c r="AA11" s="20"/>
      <c r="AB11" s="20"/>
      <c r="AC11" s="20"/>
    </row>
    <row r="12">
      <c r="A12" s="32">
        <v>10.0</v>
      </c>
      <c r="B12" s="33" t="s">
        <v>99</v>
      </c>
      <c r="C12" s="34" t="s">
        <v>89</v>
      </c>
      <c r="D12" s="35">
        <v>1.0</v>
      </c>
      <c r="K12" s="15">
        <v>10.0</v>
      </c>
      <c r="L12" s="15">
        <v>43.0</v>
      </c>
      <c r="M12" s="15" t="s">
        <v>100</v>
      </c>
      <c r="N12" s="15" t="s">
        <v>86</v>
      </c>
      <c r="O12" s="15">
        <v>55.0</v>
      </c>
      <c r="P12" s="16">
        <v>1.0</v>
      </c>
      <c r="Q12" s="15">
        <v>10.0</v>
      </c>
      <c r="R12" s="15">
        <v>31.0</v>
      </c>
      <c r="S12" s="15" t="s">
        <v>101</v>
      </c>
      <c r="T12" s="15" t="s">
        <v>82</v>
      </c>
      <c r="U12" s="15">
        <v>53.0</v>
      </c>
      <c r="V12" s="16">
        <v>1.0</v>
      </c>
      <c r="W12" s="20"/>
      <c r="X12" s="20"/>
      <c r="Y12" s="20"/>
      <c r="Z12" s="20"/>
      <c r="AA12" s="20"/>
      <c r="AB12" s="20"/>
      <c r="AC12" s="20"/>
    </row>
    <row r="14">
      <c r="A14" s="36" t="s">
        <v>48</v>
      </c>
    </row>
    <row r="15">
      <c r="A15" s="4" t="s">
        <v>7</v>
      </c>
      <c r="B15" s="4" t="s">
        <v>8</v>
      </c>
      <c r="C15" s="4" t="s">
        <v>9</v>
      </c>
      <c r="D15" s="4" t="s">
        <v>10</v>
      </c>
      <c r="E15" s="4" t="s">
        <v>11</v>
      </c>
      <c r="F15" s="4" t="s">
        <v>104</v>
      </c>
      <c r="G15" s="5" t="s">
        <v>12</v>
      </c>
    </row>
    <row r="16">
      <c r="A16" s="15">
        <v>1.0</v>
      </c>
      <c r="B16" s="15">
        <v>1.0</v>
      </c>
      <c r="C16" s="15" t="s">
        <v>77</v>
      </c>
      <c r="D16" s="15" t="s">
        <v>45</v>
      </c>
      <c r="E16" s="15">
        <v>19.0</v>
      </c>
      <c r="F16" s="15" t="s">
        <v>105</v>
      </c>
      <c r="G16" s="16">
        <v>8.0</v>
      </c>
    </row>
    <row r="17">
      <c r="A17" s="15">
        <v>2.0</v>
      </c>
      <c r="B17" s="15">
        <v>81.0</v>
      </c>
      <c r="C17" s="15" t="s">
        <v>44</v>
      </c>
      <c r="D17" s="15" t="s">
        <v>45</v>
      </c>
      <c r="E17" s="15">
        <v>19.0</v>
      </c>
      <c r="F17" s="37" t="str">
        <f>+3.766s</f>
        <v>#ERROR!</v>
      </c>
      <c r="G17" s="16">
        <v>7.0</v>
      </c>
    </row>
    <row r="18">
      <c r="A18" s="15">
        <v>3.0</v>
      </c>
      <c r="B18" s="15">
        <v>16.0</v>
      </c>
      <c r="C18" s="15" t="s">
        <v>39</v>
      </c>
      <c r="D18" s="15" t="s">
        <v>40</v>
      </c>
      <c r="E18" s="15">
        <v>19.0</v>
      </c>
      <c r="F18" s="37" t="str">
        <f>+6.251s</f>
        <v>#ERROR!</v>
      </c>
      <c r="G18" s="16">
        <v>6.0</v>
      </c>
    </row>
    <row r="19">
      <c r="A19" s="15">
        <v>4.0</v>
      </c>
      <c r="B19" s="15">
        <v>63.0</v>
      </c>
      <c r="C19" s="15" t="s">
        <v>15</v>
      </c>
      <c r="D19" s="15" t="s">
        <v>16</v>
      </c>
      <c r="E19" s="15">
        <v>19.0</v>
      </c>
      <c r="F19" s="37" t="str">
        <f>+12.951s</f>
        <v>#ERROR!</v>
      </c>
      <c r="G19" s="16">
        <v>5.0</v>
      </c>
    </row>
    <row r="20">
      <c r="A20" s="15">
        <v>5.0</v>
      </c>
      <c r="B20" s="15">
        <v>3.0</v>
      </c>
      <c r="C20" s="15" t="s">
        <v>95</v>
      </c>
      <c r="D20" s="15" t="s">
        <v>94</v>
      </c>
      <c r="E20" s="15">
        <v>19.0</v>
      </c>
      <c r="F20" s="37" t="str">
        <f>+13.639s</f>
        <v>#ERROR!</v>
      </c>
      <c r="G20" s="16">
        <v>4.0</v>
      </c>
    </row>
    <row r="21">
      <c r="A21" s="15">
        <v>6.0</v>
      </c>
      <c r="B21" s="15">
        <v>12.0</v>
      </c>
      <c r="C21" s="15" t="s">
        <v>17</v>
      </c>
      <c r="D21" s="15" t="s">
        <v>16</v>
      </c>
      <c r="E21" s="15">
        <v>19.0</v>
      </c>
      <c r="F21" s="37" t="str">
        <f>+13.777s</f>
        <v>#ERROR!</v>
      </c>
      <c r="G21" s="16">
        <v>3.0</v>
      </c>
    </row>
    <row r="22">
      <c r="A22" s="15">
        <v>7.0</v>
      </c>
      <c r="B22" s="15">
        <v>44.0</v>
      </c>
      <c r="C22" s="15" t="s">
        <v>63</v>
      </c>
      <c r="D22" s="15" t="s">
        <v>40</v>
      </c>
      <c r="E22" s="15">
        <v>19.0</v>
      </c>
      <c r="F22" s="37" t="str">
        <f>+21.665s</f>
        <v>#ERROR!</v>
      </c>
      <c r="G22" s="16">
        <v>2.0</v>
      </c>
    </row>
    <row r="23">
      <c r="A23" s="15">
        <v>8.0</v>
      </c>
      <c r="B23" s="15">
        <v>10.0</v>
      </c>
      <c r="C23" s="15" t="s">
        <v>85</v>
      </c>
      <c r="D23" s="15" t="s">
        <v>86</v>
      </c>
      <c r="E23" s="15">
        <v>19.0</v>
      </c>
      <c r="F23" s="37" t="str">
        <f>+30.525s</f>
        <v>#ERROR!</v>
      </c>
      <c r="G23" s="16">
        <v>1.0</v>
      </c>
    </row>
    <row r="24">
      <c r="A24" s="15">
        <v>9.0</v>
      </c>
      <c r="B24" s="15">
        <v>6.0</v>
      </c>
      <c r="C24" s="15" t="s">
        <v>93</v>
      </c>
      <c r="D24" s="15" t="s">
        <v>94</v>
      </c>
      <c r="E24" s="15">
        <v>19.0</v>
      </c>
      <c r="F24" s="37" t="str">
        <f>+35.346s</f>
        <v>#ERROR!</v>
      </c>
      <c r="G24" s="16">
        <v>0.0</v>
      </c>
    </row>
    <row r="26">
      <c r="A26" s="36" t="s">
        <v>49</v>
      </c>
    </row>
    <row r="27">
      <c r="A27" s="4" t="s">
        <v>7</v>
      </c>
      <c r="B27" s="4" t="s">
        <v>8</v>
      </c>
      <c r="C27" s="4" t="s">
        <v>9</v>
      </c>
      <c r="D27" s="4" t="s">
        <v>10</v>
      </c>
      <c r="E27" s="4" t="s">
        <v>11</v>
      </c>
      <c r="F27" s="4" t="s">
        <v>104</v>
      </c>
      <c r="G27" s="5" t="s">
        <v>12</v>
      </c>
    </row>
    <row r="28">
      <c r="A28" s="15">
        <v>1.0</v>
      </c>
      <c r="B28" s="15">
        <v>12.0</v>
      </c>
      <c r="C28" s="15" t="s">
        <v>17</v>
      </c>
      <c r="D28" s="15" t="s">
        <v>16</v>
      </c>
      <c r="E28" s="15">
        <v>57.0</v>
      </c>
      <c r="F28" s="38">
        <v>0.06480640046296296</v>
      </c>
      <c r="G28" s="16">
        <v>25.0</v>
      </c>
    </row>
    <row r="29">
      <c r="A29" s="15">
        <v>2.0</v>
      </c>
      <c r="B29" s="15">
        <v>1.0</v>
      </c>
      <c r="C29" s="15" t="s">
        <v>77</v>
      </c>
      <c r="D29" s="15" t="s">
        <v>45</v>
      </c>
      <c r="E29" s="15">
        <v>57.0</v>
      </c>
      <c r="F29" s="37" t="str">
        <f>+3.264s</f>
        <v>#ERROR!</v>
      </c>
      <c r="G29" s="16">
        <v>18.0</v>
      </c>
    </row>
    <row r="30">
      <c r="A30" s="15">
        <v>3.0</v>
      </c>
      <c r="B30" s="15">
        <v>81.0</v>
      </c>
      <c r="C30" s="15" t="s">
        <v>44</v>
      </c>
      <c r="D30" s="15" t="s">
        <v>45</v>
      </c>
      <c r="E30" s="15">
        <v>57.0</v>
      </c>
      <c r="F30" s="37" t="str">
        <f>+27.092s</f>
        <v>#ERROR!</v>
      </c>
      <c r="G30" s="16">
        <v>15.0</v>
      </c>
    </row>
    <row r="31">
      <c r="A31" s="15">
        <v>4.0</v>
      </c>
      <c r="B31" s="15">
        <v>63.0</v>
      </c>
      <c r="C31" s="15" t="s">
        <v>15</v>
      </c>
      <c r="D31" s="15" t="s">
        <v>16</v>
      </c>
      <c r="E31" s="15">
        <v>57.0</v>
      </c>
      <c r="F31" s="37" t="str">
        <f>+43.051s</f>
        <v>#ERROR!</v>
      </c>
      <c r="G31" s="16">
        <v>12.0</v>
      </c>
    </row>
    <row r="32">
      <c r="A32" s="15">
        <v>5.0</v>
      </c>
      <c r="B32" s="15">
        <v>3.0</v>
      </c>
      <c r="C32" s="15" t="s">
        <v>95</v>
      </c>
      <c r="D32" s="15" t="s">
        <v>94</v>
      </c>
      <c r="E32" s="15">
        <v>57.0</v>
      </c>
      <c r="F32" s="37" t="str">
        <f>+48.949s</f>
        <v>#ERROR!</v>
      </c>
      <c r="G32" s="16">
        <v>10.0</v>
      </c>
    </row>
    <row r="33">
      <c r="A33" s="15">
        <v>6.0</v>
      </c>
      <c r="B33" s="15">
        <v>44.0</v>
      </c>
      <c r="C33" s="15" t="s">
        <v>63</v>
      </c>
      <c r="D33" s="15" t="s">
        <v>40</v>
      </c>
      <c r="E33" s="15">
        <v>57.0</v>
      </c>
      <c r="F33" s="37" t="str">
        <f>+53.753s</f>
        <v>#ERROR!</v>
      </c>
      <c r="G33" s="16">
        <v>8.0</v>
      </c>
    </row>
    <row r="34">
      <c r="A34" s="15">
        <v>7.0</v>
      </c>
      <c r="B34" s="15">
        <v>43.0</v>
      </c>
      <c r="C34" s="15" t="s">
        <v>100</v>
      </c>
      <c r="D34" s="15" t="s">
        <v>86</v>
      </c>
      <c r="E34" s="15">
        <v>57.0</v>
      </c>
      <c r="F34" s="37" t="str">
        <f>+61.871s</f>
        <v>#ERROR!</v>
      </c>
      <c r="G34" s="16">
        <v>6.0</v>
      </c>
    </row>
    <row r="35">
      <c r="A35" s="15">
        <v>8.0</v>
      </c>
      <c r="B35" s="15">
        <v>16.0</v>
      </c>
      <c r="C35" s="15" t="s">
        <v>39</v>
      </c>
      <c r="D35" s="15" t="s">
        <v>40</v>
      </c>
      <c r="E35" s="15">
        <v>57.0</v>
      </c>
      <c r="F35" s="37" t="str">
        <f>+64.245s</f>
        <v>#ERROR!</v>
      </c>
      <c r="G35" s="16">
        <v>4.0</v>
      </c>
    </row>
    <row r="36">
      <c r="A36" s="15">
        <v>9.0</v>
      </c>
      <c r="B36" s="15">
        <v>55.0</v>
      </c>
      <c r="C36" s="15" t="s">
        <v>97</v>
      </c>
      <c r="D36" s="15" t="s">
        <v>98</v>
      </c>
      <c r="E36" s="15">
        <v>57.0</v>
      </c>
      <c r="F36" s="37" t="str">
        <f>+82.072s</f>
        <v>#ERROR!</v>
      </c>
      <c r="G36" s="16">
        <v>2.0</v>
      </c>
    </row>
    <row r="37">
      <c r="A37" s="15">
        <v>10.0</v>
      </c>
      <c r="B37" s="15">
        <v>23.0</v>
      </c>
      <c r="C37" s="15" t="s">
        <v>109</v>
      </c>
      <c r="D37" s="15" t="s">
        <v>98</v>
      </c>
      <c r="E37" s="15">
        <v>57.0</v>
      </c>
      <c r="F37" s="37" t="str">
        <f>+90.972s</f>
        <v>#ERROR!</v>
      </c>
      <c r="G37" s="16">
        <v>1.0</v>
      </c>
    </row>
    <row r="39">
      <c r="A39" s="36" t="s">
        <v>50</v>
      </c>
    </row>
    <row r="40">
      <c r="A40" s="4" t="s">
        <v>7</v>
      </c>
      <c r="B40" s="4" t="s">
        <v>8</v>
      </c>
      <c r="C40" s="4" t="s">
        <v>9</v>
      </c>
      <c r="D40" s="4" t="s">
        <v>10</v>
      </c>
      <c r="E40" s="4" t="s">
        <v>11</v>
      </c>
      <c r="F40" s="4" t="s">
        <v>104</v>
      </c>
      <c r="G40" s="5" t="s">
        <v>12</v>
      </c>
    </row>
    <row r="41">
      <c r="A41" s="15">
        <v>1.0</v>
      </c>
      <c r="B41" s="15">
        <v>63.0</v>
      </c>
      <c r="C41" s="15" t="s">
        <v>15</v>
      </c>
      <c r="D41" s="15" t="s">
        <v>16</v>
      </c>
      <c r="E41" s="15">
        <v>23.0</v>
      </c>
      <c r="F41" s="15" t="s">
        <v>110</v>
      </c>
      <c r="G41" s="16">
        <v>8.0</v>
      </c>
    </row>
    <row r="42">
      <c r="A42" s="15">
        <v>2.0</v>
      </c>
      <c r="B42" s="15">
        <v>1.0</v>
      </c>
      <c r="C42" s="15" t="s">
        <v>77</v>
      </c>
      <c r="D42" s="15" t="s">
        <v>45</v>
      </c>
      <c r="E42" s="15">
        <v>23.0</v>
      </c>
      <c r="F42" s="37" t="str">
        <f>+1.272s</f>
        <v>#ERROR!</v>
      </c>
      <c r="G42" s="16">
        <v>7.0</v>
      </c>
    </row>
    <row r="43">
      <c r="A43" s="15">
        <v>3.0</v>
      </c>
      <c r="B43" s="15">
        <v>12.0</v>
      </c>
      <c r="C43" s="15" t="s">
        <v>17</v>
      </c>
      <c r="D43" s="15" t="s">
        <v>16</v>
      </c>
      <c r="E43" s="15">
        <v>23.0</v>
      </c>
      <c r="F43" s="37" t="str">
        <f>+1.843s</f>
        <v>#ERROR!</v>
      </c>
      <c r="G43" s="16">
        <v>6.0</v>
      </c>
    </row>
    <row r="44">
      <c r="A44" s="15">
        <v>4.0</v>
      </c>
      <c r="B44" s="15">
        <v>81.0</v>
      </c>
      <c r="C44" s="15" t="s">
        <v>44</v>
      </c>
      <c r="D44" s="15" t="s">
        <v>45</v>
      </c>
      <c r="E44" s="15">
        <v>23.0</v>
      </c>
      <c r="F44" s="37" t="str">
        <f>+9.797s</f>
        <v>#ERROR!</v>
      </c>
      <c r="G44" s="16">
        <v>5.0</v>
      </c>
    </row>
    <row r="45">
      <c r="A45" s="15">
        <v>5.0</v>
      </c>
      <c r="B45" s="15">
        <v>16.0</v>
      </c>
      <c r="C45" s="15" t="s">
        <v>39</v>
      </c>
      <c r="D45" s="15" t="s">
        <v>40</v>
      </c>
      <c r="E45" s="15">
        <v>23.0</v>
      </c>
      <c r="F45" s="37" t="str">
        <f>+9.929s</f>
        <v>#ERROR!</v>
      </c>
      <c r="G45" s="16">
        <v>4.0</v>
      </c>
    </row>
    <row r="46">
      <c r="A46" s="15">
        <v>6.0</v>
      </c>
      <c r="B46" s="15">
        <v>44.0</v>
      </c>
      <c r="C46" s="15" t="s">
        <v>63</v>
      </c>
      <c r="D46" s="15" t="s">
        <v>40</v>
      </c>
      <c r="E46" s="15">
        <v>23.0</v>
      </c>
      <c r="F46" s="37" t="str">
        <f>+10.545s</f>
        <v>#ERROR!</v>
      </c>
      <c r="G46" s="16">
        <v>3.0</v>
      </c>
    </row>
    <row r="47">
      <c r="A47" s="15">
        <v>7.0</v>
      </c>
      <c r="B47" s="15">
        <v>3.0</v>
      </c>
      <c r="C47" s="15" t="s">
        <v>95</v>
      </c>
      <c r="D47" s="15" t="s">
        <v>94</v>
      </c>
      <c r="E47" s="15">
        <v>23.0</v>
      </c>
      <c r="F47" s="37" t="str">
        <f>+15.935s</f>
        <v>#ERROR!</v>
      </c>
      <c r="G47" s="16">
        <v>2.0</v>
      </c>
    </row>
    <row r="48">
      <c r="A48" s="15">
        <v>8.0</v>
      </c>
      <c r="B48" s="15">
        <v>41.0</v>
      </c>
      <c r="C48" s="15" t="s">
        <v>112</v>
      </c>
      <c r="D48" s="15" t="s">
        <v>91</v>
      </c>
      <c r="E48" s="15">
        <v>23.0</v>
      </c>
      <c r="F48" s="37" t="str">
        <f>+29.710s</f>
        <v>#ERROR!</v>
      </c>
      <c r="G48" s="16">
        <v>1.0</v>
      </c>
    </row>
    <row r="49">
      <c r="A49" s="15">
        <v>9.0</v>
      </c>
      <c r="B49" s="15">
        <v>43.0</v>
      </c>
      <c r="C49" s="15" t="s">
        <v>100</v>
      </c>
      <c r="D49" s="15" t="s">
        <v>86</v>
      </c>
      <c r="E49" s="15">
        <v>23.0</v>
      </c>
      <c r="F49" s="37" t="str">
        <f>+31.621s</f>
        <v>#ERROR!</v>
      </c>
      <c r="G49" s="16">
        <v>0.0</v>
      </c>
    </row>
    <row r="51">
      <c r="A51" s="40" t="s">
        <v>51</v>
      </c>
    </row>
    <row r="52">
      <c r="A52" s="4" t="s">
        <v>7</v>
      </c>
      <c r="B52" s="4" t="s">
        <v>8</v>
      </c>
      <c r="C52" s="4" t="s">
        <v>9</v>
      </c>
      <c r="D52" s="4" t="s">
        <v>10</v>
      </c>
      <c r="E52" s="4" t="s">
        <v>11</v>
      </c>
      <c r="F52" s="4" t="s">
        <v>104</v>
      </c>
      <c r="G52" s="5" t="s">
        <v>12</v>
      </c>
    </row>
    <row r="53">
      <c r="A53" s="15">
        <v>1.0</v>
      </c>
      <c r="B53" s="15">
        <v>12.0</v>
      </c>
      <c r="C53" s="15" t="s">
        <v>17</v>
      </c>
      <c r="D53" s="15" t="s">
        <v>16</v>
      </c>
      <c r="E53" s="15">
        <v>68.0</v>
      </c>
      <c r="F53" s="38">
        <v>0.06129349537037037</v>
      </c>
      <c r="G53" s="16">
        <v>25.0</v>
      </c>
    </row>
    <row r="54">
      <c r="A54" s="15">
        <v>2.0</v>
      </c>
      <c r="B54" s="15">
        <v>44.0</v>
      </c>
      <c r="C54" s="15" t="s">
        <v>63</v>
      </c>
      <c r="D54" s="15" t="s">
        <v>40</v>
      </c>
      <c r="E54" s="15">
        <v>68.0</v>
      </c>
      <c r="F54" s="37" t="str">
        <f>+10.768s</f>
        <v>#ERROR!</v>
      </c>
      <c r="G54" s="16">
        <v>18.0</v>
      </c>
    </row>
    <row r="55">
      <c r="A55" s="15">
        <v>3.0</v>
      </c>
      <c r="B55" s="15">
        <v>3.0</v>
      </c>
      <c r="C55" s="15" t="s">
        <v>95</v>
      </c>
      <c r="D55" s="15" t="s">
        <v>94</v>
      </c>
      <c r="E55" s="15">
        <v>68.0</v>
      </c>
      <c r="F55" s="37" t="str">
        <f>+11.276s</f>
        <v>#ERROR!</v>
      </c>
      <c r="G55" s="16">
        <v>15.0</v>
      </c>
    </row>
    <row r="56">
      <c r="A56" s="15">
        <v>4.0</v>
      </c>
      <c r="B56" s="15">
        <v>16.0</v>
      </c>
      <c r="C56" s="15" t="s">
        <v>39</v>
      </c>
      <c r="D56" s="15" t="s">
        <v>40</v>
      </c>
      <c r="E56" s="15">
        <v>68.0</v>
      </c>
      <c r="F56" s="37" t="str">
        <f>+44.151s</f>
        <v>#ERROR!</v>
      </c>
      <c r="G56" s="16">
        <v>12.0</v>
      </c>
    </row>
    <row r="57">
      <c r="A57" s="15">
        <v>5.0</v>
      </c>
      <c r="B57" s="15">
        <v>6.0</v>
      </c>
      <c r="C57" s="15" t="s">
        <v>93</v>
      </c>
      <c r="D57" s="15" t="s">
        <v>94</v>
      </c>
      <c r="E57" s="15">
        <v>67.0</v>
      </c>
      <c r="F57" s="37" t="str">
        <f>+1 lap</f>
        <v>#ERROR!</v>
      </c>
      <c r="G57" s="16">
        <v>10.0</v>
      </c>
    </row>
    <row r="58">
      <c r="A58" s="15">
        <v>6.0</v>
      </c>
      <c r="B58" s="15">
        <v>43.0</v>
      </c>
      <c r="C58" s="15" t="s">
        <v>100</v>
      </c>
      <c r="D58" s="15" t="s">
        <v>86</v>
      </c>
      <c r="E58" s="15">
        <v>67.0</v>
      </c>
      <c r="F58" s="37" t="str">
        <f>+1 lap</f>
        <v>#ERROR!</v>
      </c>
      <c r="G58" s="16">
        <v>8.0</v>
      </c>
    </row>
    <row r="59">
      <c r="A59" s="15">
        <v>7.0</v>
      </c>
      <c r="B59" s="15">
        <v>30.0</v>
      </c>
      <c r="C59" s="15" t="s">
        <v>90</v>
      </c>
      <c r="D59" s="15" t="s">
        <v>91</v>
      </c>
      <c r="E59" s="15">
        <v>67.0</v>
      </c>
      <c r="F59" s="37" t="str">
        <f>+1 lap</f>
        <v>#ERROR!</v>
      </c>
      <c r="G59" s="16">
        <v>6.0</v>
      </c>
    </row>
    <row r="60">
      <c r="A60" s="15">
        <v>8.0</v>
      </c>
      <c r="B60" s="15">
        <v>10.0</v>
      </c>
      <c r="C60" s="15" t="s">
        <v>85</v>
      </c>
      <c r="D60" s="15" t="s">
        <v>86</v>
      </c>
      <c r="E60" s="15">
        <v>67.0</v>
      </c>
      <c r="F60" s="37" t="str">
        <f>+1 lap</f>
        <v>#ERROR!</v>
      </c>
      <c r="G60" s="16">
        <v>4.0</v>
      </c>
    </row>
    <row r="61">
      <c r="A61" s="15">
        <v>9.0</v>
      </c>
      <c r="B61" s="15">
        <v>55.0</v>
      </c>
      <c r="C61" s="15" t="s">
        <v>97</v>
      </c>
      <c r="D61" s="15" t="s">
        <v>98</v>
      </c>
      <c r="E61" s="15">
        <v>67.0</v>
      </c>
      <c r="F61" s="37" t="str">
        <f>+1 lap</f>
        <v>#ERROR!</v>
      </c>
      <c r="G61" s="16">
        <v>2.0</v>
      </c>
    </row>
    <row r="62">
      <c r="A62" s="15">
        <v>10.0</v>
      </c>
      <c r="B62" s="15">
        <v>87.0</v>
      </c>
      <c r="C62" s="15" t="s">
        <v>81</v>
      </c>
      <c r="D62" s="15" t="s">
        <v>82</v>
      </c>
      <c r="E62" s="15">
        <v>67.0</v>
      </c>
      <c r="F62" s="37" t="str">
        <f>+1 lap</f>
        <v>#ERROR!</v>
      </c>
      <c r="G62" s="16">
        <v>1.0</v>
      </c>
    </row>
    <row r="64">
      <c r="A64" s="42" t="s">
        <v>52</v>
      </c>
    </row>
    <row r="65">
      <c r="A65" s="4" t="s">
        <v>7</v>
      </c>
      <c r="B65" s="4" t="s">
        <v>8</v>
      </c>
      <c r="C65" s="4" t="s">
        <v>9</v>
      </c>
      <c r="D65" s="4" t="s">
        <v>10</v>
      </c>
      <c r="E65" s="4" t="s">
        <v>11</v>
      </c>
      <c r="F65" s="4" t="s">
        <v>104</v>
      </c>
      <c r="G65" s="5" t="s">
        <v>12</v>
      </c>
    </row>
    <row r="66">
      <c r="A66" s="15">
        <v>1.0</v>
      </c>
      <c r="B66" s="15">
        <v>12.0</v>
      </c>
      <c r="C66" s="15" t="s">
        <v>17</v>
      </c>
      <c r="D66" s="15" t="s">
        <v>16</v>
      </c>
      <c r="E66" s="15">
        <v>78.0</v>
      </c>
      <c r="F66" s="38">
        <v>0.09966716435185186</v>
      </c>
      <c r="G66" s="16">
        <v>25.0</v>
      </c>
    </row>
    <row r="67">
      <c r="A67" s="15">
        <v>2.0</v>
      </c>
      <c r="B67" s="15">
        <v>44.0</v>
      </c>
      <c r="C67" s="15" t="s">
        <v>63</v>
      </c>
      <c r="D67" s="15" t="s">
        <v>40</v>
      </c>
      <c r="E67" s="15">
        <v>78.0</v>
      </c>
      <c r="F67" s="37" t="str">
        <f>+6.271s</f>
        <v>#ERROR!</v>
      </c>
      <c r="G67" s="16">
        <v>18.0</v>
      </c>
    </row>
    <row r="68">
      <c r="A68" s="15">
        <v>3.0</v>
      </c>
      <c r="B68" s="15">
        <v>6.0</v>
      </c>
      <c r="C68" s="15" t="s">
        <v>93</v>
      </c>
      <c r="D68" s="15" t="s">
        <v>94</v>
      </c>
      <c r="E68" s="15">
        <v>78.0</v>
      </c>
      <c r="F68" s="37" t="str">
        <f>+23.394s</f>
        <v>#ERROR!</v>
      </c>
      <c r="G68" s="16">
        <v>15.0</v>
      </c>
    </row>
    <row r="69">
      <c r="A69" s="15">
        <v>4.0</v>
      </c>
      <c r="B69" s="15">
        <v>81.0</v>
      </c>
      <c r="C69" s="15" t="s">
        <v>44</v>
      </c>
      <c r="D69" s="15" t="s">
        <v>45</v>
      </c>
      <c r="E69" s="15">
        <v>78.0</v>
      </c>
      <c r="F69" s="37" t="str">
        <f>+24.261s</f>
        <v>#ERROR!</v>
      </c>
      <c r="G69" s="16">
        <v>12.0</v>
      </c>
    </row>
    <row r="70">
      <c r="A70" s="15">
        <v>5.0</v>
      </c>
      <c r="B70" s="15">
        <v>30.0</v>
      </c>
      <c r="C70" s="15" t="s">
        <v>90</v>
      </c>
      <c r="D70" s="15" t="s">
        <v>91</v>
      </c>
      <c r="E70" s="15">
        <v>78.0</v>
      </c>
      <c r="F70" s="37" t="str">
        <f>+26.553s</f>
        <v>#ERROR!</v>
      </c>
      <c r="G70" s="16">
        <v>10.0</v>
      </c>
    </row>
    <row r="71">
      <c r="A71" s="15">
        <v>6.0</v>
      </c>
      <c r="B71" s="15">
        <v>41.0</v>
      </c>
      <c r="C71" s="15" t="s">
        <v>112</v>
      </c>
      <c r="D71" s="15" t="s">
        <v>91</v>
      </c>
      <c r="E71" s="15">
        <v>78.0</v>
      </c>
      <c r="F71" s="37" t="str">
        <f>+29.010s</f>
        <v>#ERROR!</v>
      </c>
      <c r="G71" s="16">
        <v>8.0</v>
      </c>
    </row>
    <row r="72">
      <c r="A72" s="15">
        <v>7.0</v>
      </c>
      <c r="B72" s="15">
        <v>10.0</v>
      </c>
      <c r="C72" s="15" t="s">
        <v>85</v>
      </c>
      <c r="D72" s="15" t="s">
        <v>86</v>
      </c>
      <c r="E72" s="15">
        <v>78.0</v>
      </c>
      <c r="F72" s="37" t="str">
        <f>+30.369s</f>
        <v>#ERROR!</v>
      </c>
      <c r="G72" s="16">
        <v>6.0</v>
      </c>
    </row>
    <row r="73">
      <c r="A73" s="15">
        <v>8.0</v>
      </c>
      <c r="B73" s="15">
        <v>23.0</v>
      </c>
      <c r="C73" s="15" t="s">
        <v>109</v>
      </c>
      <c r="D73" s="15" t="s">
        <v>98</v>
      </c>
      <c r="E73" s="15">
        <v>78.0</v>
      </c>
      <c r="F73" s="37" t="str">
        <f>+33.413s</f>
        <v>#ERROR!</v>
      </c>
      <c r="G73" s="16">
        <v>4.0</v>
      </c>
    </row>
    <row r="74">
      <c r="A74" s="15">
        <v>9.0</v>
      </c>
      <c r="B74" s="15">
        <v>31.0</v>
      </c>
      <c r="C74" s="15" t="s">
        <v>101</v>
      </c>
      <c r="D74" s="15" t="s">
        <v>82</v>
      </c>
      <c r="E74" s="15">
        <v>78.0</v>
      </c>
      <c r="F74" s="37" t="str">
        <f>+37.140s</f>
        <v>#ERROR!</v>
      </c>
      <c r="G74" s="16">
        <v>2.0</v>
      </c>
    </row>
    <row r="75">
      <c r="A75" s="15">
        <v>10.0</v>
      </c>
      <c r="B75" s="15">
        <v>14.0</v>
      </c>
      <c r="C75" s="15" t="s">
        <v>116</v>
      </c>
      <c r="D75" s="15" t="s">
        <v>117</v>
      </c>
      <c r="E75" s="15">
        <v>78.0</v>
      </c>
      <c r="F75" s="37" t="str">
        <f>+41.899s</f>
        <v>#ERROR!</v>
      </c>
      <c r="G75" s="16">
        <v>1.0</v>
      </c>
    </row>
    <row r="77">
      <c r="A77" s="42" t="s">
        <v>53</v>
      </c>
    </row>
    <row r="78">
      <c r="A78" s="4" t="s">
        <v>7</v>
      </c>
      <c r="B78" s="4" t="s">
        <v>8</v>
      </c>
      <c r="C78" s="4" t="s">
        <v>9</v>
      </c>
      <c r="D78" s="4" t="s">
        <v>10</v>
      </c>
      <c r="E78" s="4" t="s">
        <v>11</v>
      </c>
      <c r="F78" s="4" t="s">
        <v>104</v>
      </c>
      <c r="G78" s="5" t="s">
        <v>12</v>
      </c>
    </row>
    <row r="79">
      <c r="A79" s="15">
        <v>1.0</v>
      </c>
      <c r="B79" s="15">
        <v>44.0</v>
      </c>
      <c r="C79" s="15" t="s">
        <v>63</v>
      </c>
      <c r="D79" s="15" t="s">
        <v>40</v>
      </c>
      <c r="E79" s="15">
        <v>66.0</v>
      </c>
      <c r="F79" s="38">
        <v>0.06421417824074073</v>
      </c>
      <c r="G79" s="16">
        <v>25.0</v>
      </c>
    </row>
    <row r="80">
      <c r="A80" s="15">
        <v>2.0</v>
      </c>
      <c r="B80" s="15">
        <v>63.0</v>
      </c>
      <c r="C80" s="15" t="s">
        <v>15</v>
      </c>
      <c r="D80" s="15" t="s">
        <v>16</v>
      </c>
      <c r="E80" s="15">
        <v>66.0</v>
      </c>
      <c r="F80" s="37" t="str">
        <f>+19.561s</f>
        <v>#ERROR!</v>
      </c>
      <c r="G80" s="16">
        <v>18.0</v>
      </c>
    </row>
    <row r="81">
      <c r="A81" s="15">
        <v>3.0</v>
      </c>
      <c r="B81" s="15">
        <v>1.0</v>
      </c>
      <c r="C81" s="15" t="s">
        <v>77</v>
      </c>
      <c r="D81" s="15" t="s">
        <v>45</v>
      </c>
      <c r="E81" s="15">
        <v>66.0</v>
      </c>
      <c r="F81" s="37" t="str">
        <f>+23.719s</f>
        <v>#ERROR!</v>
      </c>
      <c r="G81" s="16">
        <v>15.0</v>
      </c>
    </row>
    <row r="82">
      <c r="A82" s="15">
        <v>4.0</v>
      </c>
      <c r="B82" s="15">
        <v>3.0</v>
      </c>
      <c r="C82" s="15" t="s">
        <v>95</v>
      </c>
      <c r="D82" s="15" t="s">
        <v>94</v>
      </c>
      <c r="E82" s="15">
        <v>66.0</v>
      </c>
      <c r="F82" s="37" t="str">
        <f>+40.497s</f>
        <v>#ERROR!</v>
      </c>
      <c r="G82" s="16">
        <v>12.0</v>
      </c>
    </row>
    <row r="83">
      <c r="A83" s="15">
        <v>5.0</v>
      </c>
      <c r="B83" s="15">
        <v>81.0</v>
      </c>
      <c r="C83" s="15" t="s">
        <v>44</v>
      </c>
      <c r="D83" s="15" t="s">
        <v>45</v>
      </c>
      <c r="E83" s="15">
        <v>66.0</v>
      </c>
      <c r="F83" s="37" t="str">
        <f>+58.661s</f>
        <v>#ERROR!</v>
      </c>
      <c r="G83" s="16">
        <v>10.0</v>
      </c>
    </row>
    <row r="84">
      <c r="A84" s="15">
        <v>6.0</v>
      </c>
      <c r="B84" s="15">
        <v>6.0</v>
      </c>
      <c r="C84" s="15" t="s">
        <v>93</v>
      </c>
      <c r="D84" s="15" t="s">
        <v>94</v>
      </c>
      <c r="E84" s="15">
        <v>65.0</v>
      </c>
      <c r="F84" s="37" t="str">
        <f>+1 lap</f>
        <v>#ERROR!</v>
      </c>
      <c r="G84" s="16">
        <v>8.0</v>
      </c>
    </row>
    <row r="85">
      <c r="A85" s="15">
        <v>7.0</v>
      </c>
      <c r="B85" s="15">
        <v>10.0</v>
      </c>
      <c r="C85" s="15" t="s">
        <v>85</v>
      </c>
      <c r="D85" s="15" t="s">
        <v>86</v>
      </c>
      <c r="E85" s="15">
        <v>65.0</v>
      </c>
      <c r="F85" s="37" t="str">
        <f>+1 lap</f>
        <v>#ERROR!</v>
      </c>
      <c r="G85" s="16">
        <v>6.0</v>
      </c>
    </row>
    <row r="86">
      <c r="A86" s="15">
        <v>8.0</v>
      </c>
      <c r="B86" s="15">
        <v>30.0</v>
      </c>
      <c r="C86" s="15" t="s">
        <v>90</v>
      </c>
      <c r="D86" s="15" t="s">
        <v>91</v>
      </c>
      <c r="E86" s="15">
        <v>65.0</v>
      </c>
      <c r="F86" s="37" t="str">
        <f>+1 lap</f>
        <v>#ERROR!</v>
      </c>
      <c r="G86" s="16">
        <v>4.0</v>
      </c>
    </row>
    <row r="87">
      <c r="A87" s="15">
        <v>9.0</v>
      </c>
      <c r="B87" s="15">
        <v>41.0</v>
      </c>
      <c r="C87" s="15" t="s">
        <v>112</v>
      </c>
      <c r="D87" s="15" t="s">
        <v>91</v>
      </c>
      <c r="E87" s="15">
        <v>65.0</v>
      </c>
      <c r="F87" s="37" t="str">
        <f>+1 lap</f>
        <v>#ERROR!</v>
      </c>
      <c r="G87" s="16">
        <v>2.0</v>
      </c>
    </row>
    <row r="88">
      <c r="A88" s="15">
        <v>10.0</v>
      </c>
      <c r="B88" s="15">
        <v>43.0</v>
      </c>
      <c r="C88" s="15" t="s">
        <v>100</v>
      </c>
      <c r="D88" s="15" t="s">
        <v>86</v>
      </c>
      <c r="E88" s="15">
        <v>65.0</v>
      </c>
      <c r="F88" s="37" t="str">
        <f>+1 lap</f>
        <v>#ERROR!</v>
      </c>
      <c r="G88" s="16">
        <v>1.0</v>
      </c>
    </row>
    <row r="90">
      <c r="A90" s="42" t="s">
        <v>55</v>
      </c>
    </row>
    <row r="91">
      <c r="A91" s="4" t="s">
        <v>7</v>
      </c>
      <c r="B91" s="4" t="s">
        <v>8</v>
      </c>
      <c r="C91" s="4" t="s">
        <v>9</v>
      </c>
      <c r="D91" s="4" t="s">
        <v>10</v>
      </c>
      <c r="E91" s="4" t="s">
        <v>11</v>
      </c>
      <c r="F91" s="4" t="s">
        <v>104</v>
      </c>
      <c r="G91" s="5" t="s">
        <v>12</v>
      </c>
    </row>
    <row r="92">
      <c r="A92" s="15">
        <v>1.0</v>
      </c>
      <c r="B92" s="15">
        <v>63.0</v>
      </c>
      <c r="C92" s="15" t="s">
        <v>15</v>
      </c>
      <c r="D92" s="15" t="s">
        <v>16</v>
      </c>
      <c r="E92" s="15">
        <v>71.0</v>
      </c>
      <c r="F92" s="38">
        <v>0.060161793981481484</v>
      </c>
      <c r="G92" s="16">
        <v>25.0</v>
      </c>
    </row>
    <row r="93">
      <c r="A93" s="15">
        <v>2.0</v>
      </c>
      <c r="B93" s="15">
        <v>3.0</v>
      </c>
      <c r="C93" s="15" t="s">
        <v>95</v>
      </c>
      <c r="D93" s="15" t="s">
        <v>94</v>
      </c>
      <c r="E93" s="15">
        <v>71.0</v>
      </c>
      <c r="F93" s="37" t="str">
        <f>+1.611s</f>
        <v>#ERROR!</v>
      </c>
      <c r="G93" s="16">
        <v>18.0</v>
      </c>
    </row>
    <row r="94">
      <c r="A94" s="15">
        <v>3.0</v>
      </c>
      <c r="B94" s="15">
        <v>12.0</v>
      </c>
      <c r="C94" s="15" t="s">
        <v>17</v>
      </c>
      <c r="D94" s="15" t="s">
        <v>16</v>
      </c>
      <c r="E94" s="15">
        <v>71.0</v>
      </c>
      <c r="F94" s="37" t="str">
        <f>+1.986s</f>
        <v>#ERROR!</v>
      </c>
      <c r="G94" s="16">
        <v>15.0</v>
      </c>
    </row>
    <row r="95">
      <c r="A95" s="15">
        <v>4.0</v>
      </c>
      <c r="B95" s="15">
        <v>81.0</v>
      </c>
      <c r="C95" s="15" t="s">
        <v>44</v>
      </c>
      <c r="D95" s="15" t="s">
        <v>45</v>
      </c>
      <c r="E95" s="15">
        <v>71.0</v>
      </c>
      <c r="F95" s="37" t="str">
        <f>+21.809s</f>
        <v>#ERROR!</v>
      </c>
      <c r="G95" s="16">
        <v>12.0</v>
      </c>
    </row>
    <row r="96">
      <c r="A96" s="15">
        <v>5.0</v>
      </c>
      <c r="B96" s="15">
        <v>44.0</v>
      </c>
      <c r="C96" s="15" t="s">
        <v>63</v>
      </c>
      <c r="D96" s="15" t="s">
        <v>40</v>
      </c>
      <c r="E96" s="15">
        <v>71.0</v>
      </c>
      <c r="F96" s="37" t="str">
        <f>+26.393s</f>
        <v>#ERROR!</v>
      </c>
      <c r="G96" s="16">
        <v>10.0</v>
      </c>
    </row>
    <row r="97">
      <c r="A97" s="15">
        <v>6.0</v>
      </c>
      <c r="B97" s="15">
        <v>6.0</v>
      </c>
      <c r="C97" s="15" t="s">
        <v>93</v>
      </c>
      <c r="D97" s="15" t="s">
        <v>94</v>
      </c>
      <c r="E97" s="15">
        <v>71.0</v>
      </c>
      <c r="F97" s="37" t="str">
        <f>+29.399s</f>
        <v>#ERROR!</v>
      </c>
      <c r="G97" s="16">
        <v>8.0</v>
      </c>
    </row>
    <row r="98">
      <c r="A98" s="15">
        <v>7.0</v>
      </c>
      <c r="B98" s="15">
        <v>1.0</v>
      </c>
      <c r="C98" s="15" t="s">
        <v>77</v>
      </c>
      <c r="D98" s="15" t="s">
        <v>45</v>
      </c>
      <c r="E98" s="15">
        <v>71.0</v>
      </c>
      <c r="F98" s="37" t="str">
        <f>+31.505s</f>
        <v>#ERROR!</v>
      </c>
      <c r="G98" s="16">
        <v>6.0</v>
      </c>
    </row>
    <row r="99">
      <c r="A99" s="15">
        <v>8.0</v>
      </c>
      <c r="B99" s="15">
        <v>16.0</v>
      </c>
      <c r="C99" s="15" t="s">
        <v>39</v>
      </c>
      <c r="D99" s="15" t="s">
        <v>40</v>
      </c>
      <c r="E99" s="15">
        <v>71.0</v>
      </c>
      <c r="F99" s="37" t="str">
        <f>+45.659s</f>
        <v>#ERROR!</v>
      </c>
      <c r="G99" s="16">
        <v>4.0</v>
      </c>
    </row>
    <row r="100">
      <c r="A100" s="15">
        <v>9.0</v>
      </c>
      <c r="B100" s="15">
        <v>30.0</v>
      </c>
      <c r="C100" s="15" t="s">
        <v>90</v>
      </c>
      <c r="D100" s="15" t="s">
        <v>91</v>
      </c>
      <c r="E100" s="15">
        <v>70.0</v>
      </c>
      <c r="F100" s="37" t="str">
        <f>+1 lap</f>
        <v>#ERROR!</v>
      </c>
      <c r="G100" s="16">
        <v>2.0</v>
      </c>
    </row>
    <row r="101">
      <c r="A101" s="15">
        <v>10.0</v>
      </c>
      <c r="B101" s="15">
        <v>41.0</v>
      </c>
      <c r="C101" s="15" t="s">
        <v>112</v>
      </c>
      <c r="D101" s="15" t="s">
        <v>91</v>
      </c>
      <c r="E101" s="15">
        <v>70.0</v>
      </c>
      <c r="F101" s="37" t="str">
        <f>+1 lap</f>
        <v>#ERROR!</v>
      </c>
      <c r="G101" s="16">
        <v>1.0</v>
      </c>
    </row>
    <row r="103">
      <c r="A103" s="42" t="s">
        <v>123</v>
      </c>
    </row>
    <row r="104">
      <c r="A104" s="4" t="s">
        <v>7</v>
      </c>
      <c r="B104" s="4" t="s">
        <v>8</v>
      </c>
      <c r="C104" s="4" t="s">
        <v>9</v>
      </c>
      <c r="D104" s="4" t="s">
        <v>10</v>
      </c>
      <c r="E104" s="4" t="s">
        <v>11</v>
      </c>
      <c r="F104" s="4" t="s">
        <v>104</v>
      </c>
      <c r="G104" s="5" t="s">
        <v>12</v>
      </c>
    </row>
    <row r="105">
      <c r="A105" s="15">
        <v>1.0</v>
      </c>
      <c r="B105" s="15">
        <v>12.0</v>
      </c>
      <c r="C105" s="15" t="s">
        <v>17</v>
      </c>
      <c r="D105" s="15" t="s">
        <v>16</v>
      </c>
      <c r="E105" s="15">
        <v>17.0</v>
      </c>
      <c r="F105" s="15" t="s">
        <v>124</v>
      </c>
      <c r="G105" s="16">
        <v>8.0</v>
      </c>
    </row>
    <row r="106">
      <c r="A106" s="15">
        <v>2.0</v>
      </c>
      <c r="B106" s="15">
        <v>44.0</v>
      </c>
      <c r="C106" s="15" t="s">
        <v>63</v>
      </c>
      <c r="D106" s="15" t="s">
        <v>40</v>
      </c>
      <c r="E106" s="15">
        <v>17.0</v>
      </c>
      <c r="F106" s="37" t="str">
        <f>+2.745s</f>
        <v>#ERROR!</v>
      </c>
      <c r="G106" s="16">
        <v>7.0</v>
      </c>
    </row>
    <row r="107">
      <c r="A107" s="15">
        <v>3.0</v>
      </c>
      <c r="B107" s="15">
        <v>1.0</v>
      </c>
      <c r="C107" s="15" t="s">
        <v>77</v>
      </c>
      <c r="D107" s="15" t="s">
        <v>45</v>
      </c>
      <c r="E107" s="15">
        <v>17.0</v>
      </c>
      <c r="F107" s="37" t="str">
        <f>+9.783s</f>
        <v>#ERROR!</v>
      </c>
      <c r="G107" s="16">
        <v>6.0</v>
      </c>
    </row>
    <row r="108">
      <c r="A108" s="15">
        <v>4.0</v>
      </c>
      <c r="B108" s="15">
        <v>63.0</v>
      </c>
      <c r="C108" s="15" t="s">
        <v>15</v>
      </c>
      <c r="D108" s="15" t="s">
        <v>16</v>
      </c>
      <c r="E108" s="15">
        <v>17.0</v>
      </c>
      <c r="F108" s="37" t="str">
        <f>+10.639s</f>
        <v>#ERROR!</v>
      </c>
      <c r="G108" s="16">
        <v>5.0</v>
      </c>
    </row>
    <row r="109">
      <c r="A109" s="15">
        <v>5.0</v>
      </c>
      <c r="B109" s="15">
        <v>16.0</v>
      </c>
      <c r="C109" s="15" t="s">
        <v>39</v>
      </c>
      <c r="D109" s="15" t="s">
        <v>40</v>
      </c>
      <c r="E109" s="15">
        <v>17.0</v>
      </c>
      <c r="F109" s="37" t="str">
        <f>+12.620s</f>
        <v>#ERROR!</v>
      </c>
      <c r="G109" s="16">
        <v>4.0</v>
      </c>
    </row>
    <row r="110">
      <c r="A110" s="15">
        <v>6.0</v>
      </c>
      <c r="B110" s="15">
        <v>3.0</v>
      </c>
      <c r="C110" s="15" t="s">
        <v>95</v>
      </c>
      <c r="D110" s="15" t="s">
        <v>94</v>
      </c>
      <c r="E110" s="15">
        <v>17.0</v>
      </c>
      <c r="F110" s="37" t="str">
        <f>+16.550s</f>
        <v>#ERROR!</v>
      </c>
      <c r="G110" s="16">
        <v>3.0</v>
      </c>
    </row>
    <row r="111">
      <c r="A111" s="15">
        <v>7.0</v>
      </c>
      <c r="B111" s="15">
        <v>81.0</v>
      </c>
      <c r="C111" s="15" t="s">
        <v>44</v>
      </c>
      <c r="D111" s="15" t="s">
        <v>45</v>
      </c>
      <c r="E111" s="15">
        <v>17.0</v>
      </c>
      <c r="F111" s="37" t="str">
        <f>+17.551s</f>
        <v>#ERROR!</v>
      </c>
      <c r="G111" s="16">
        <v>2.0</v>
      </c>
    </row>
    <row r="112">
      <c r="A112" s="15">
        <v>8.0</v>
      </c>
      <c r="B112" s="15">
        <v>30.0</v>
      </c>
      <c r="C112" s="15" t="s">
        <v>90</v>
      </c>
      <c r="D112" s="15" t="s">
        <v>91</v>
      </c>
      <c r="E112" s="15">
        <v>17.0</v>
      </c>
      <c r="F112" s="37" t="str">
        <f>+30.233s</f>
        <v>#ERROR!</v>
      </c>
      <c r="G112" s="16">
        <v>1.0</v>
      </c>
    </row>
    <row r="113">
      <c r="A113" s="15">
        <v>9.0</v>
      </c>
      <c r="B113" s="15">
        <v>6.0</v>
      </c>
      <c r="C113" s="15" t="s">
        <v>93</v>
      </c>
      <c r="D113" s="15" t="s">
        <v>94</v>
      </c>
      <c r="E113" s="15">
        <v>17.0</v>
      </c>
      <c r="F113" s="37" t="str">
        <f>+30.953s</f>
        <v>#ERROR!</v>
      </c>
      <c r="G113" s="16">
        <v>0.0</v>
      </c>
    </row>
    <row r="114">
      <c r="A114" s="15">
        <v>10.0</v>
      </c>
      <c r="B114" s="15">
        <v>41.0</v>
      </c>
      <c r="C114" s="15" t="s">
        <v>112</v>
      </c>
      <c r="D114" s="15" t="s">
        <v>91</v>
      </c>
      <c r="E114" s="15">
        <v>17.0</v>
      </c>
      <c r="F114" s="37" t="str">
        <f>+35.110s</f>
        <v>#ERROR!</v>
      </c>
      <c r="G114" s="16">
        <v>0.0</v>
      </c>
    </row>
    <row r="116">
      <c r="A116" s="42" t="s">
        <v>125</v>
      </c>
    </row>
    <row r="117">
      <c r="A117" s="4" t="s">
        <v>7</v>
      </c>
      <c r="B117" s="4" t="s">
        <v>8</v>
      </c>
      <c r="C117" s="4" t="s">
        <v>9</v>
      </c>
      <c r="D117" s="4" t="s">
        <v>10</v>
      </c>
      <c r="E117" s="4" t="s">
        <v>11</v>
      </c>
      <c r="F117" s="4" t="s">
        <v>104</v>
      </c>
      <c r="G117" s="5" t="s">
        <v>12</v>
      </c>
    </row>
    <row r="118">
      <c r="A118" s="15">
        <v>1.0</v>
      </c>
      <c r="B118" s="15">
        <v>16.0</v>
      </c>
      <c r="C118" s="15" t="s">
        <v>39</v>
      </c>
      <c r="D118" s="15" t="s">
        <v>40</v>
      </c>
      <c r="E118" s="15">
        <v>52.0</v>
      </c>
      <c r="F118" s="38">
        <v>0.060547858796296296</v>
      </c>
      <c r="G118" s="16">
        <v>25.0</v>
      </c>
    </row>
    <row r="119">
      <c r="A119" s="15">
        <v>2.0</v>
      </c>
      <c r="B119" s="15">
        <v>63.0</v>
      </c>
      <c r="C119" s="15" t="s">
        <v>15</v>
      </c>
      <c r="D119" s="15" t="s">
        <v>16</v>
      </c>
      <c r="E119" s="15">
        <v>52.0</v>
      </c>
      <c r="F119" s="37" t="str">
        <f>+0.427s</f>
        <v>#ERROR!</v>
      </c>
      <c r="G119" s="16">
        <v>18.0</v>
      </c>
    </row>
    <row r="120">
      <c r="A120" s="15">
        <v>3.0</v>
      </c>
      <c r="B120" s="15">
        <v>44.0</v>
      </c>
      <c r="C120" s="15" t="s">
        <v>63</v>
      </c>
      <c r="D120" s="15" t="s">
        <v>40</v>
      </c>
      <c r="E120" s="15">
        <v>52.0</v>
      </c>
      <c r="F120" s="37" t="str">
        <f>+0.772s</f>
        <v>#ERROR!</v>
      </c>
      <c r="G120" s="16">
        <v>15.0</v>
      </c>
    </row>
    <row r="121">
      <c r="A121" s="15">
        <v>4.0</v>
      </c>
      <c r="B121" s="15">
        <v>1.0</v>
      </c>
      <c r="C121" s="15" t="s">
        <v>77</v>
      </c>
      <c r="D121" s="15" t="s">
        <v>45</v>
      </c>
      <c r="E121" s="15">
        <v>52.0</v>
      </c>
      <c r="F121" s="37" t="str">
        <f>+1.149s</f>
        <v>#ERROR!</v>
      </c>
      <c r="G121" s="16">
        <v>12.0</v>
      </c>
    </row>
    <row r="122">
      <c r="A122" s="15">
        <v>5.0</v>
      </c>
      <c r="B122" s="15">
        <v>6.0</v>
      </c>
      <c r="C122" s="15" t="s">
        <v>93</v>
      </c>
      <c r="D122" s="15" t="s">
        <v>94</v>
      </c>
      <c r="E122" s="15">
        <v>52.0</v>
      </c>
      <c r="F122" s="37" t="str">
        <f>+1.598s</f>
        <v>#ERROR!</v>
      </c>
      <c r="G122" s="16">
        <v>10.0</v>
      </c>
    </row>
    <row r="123">
      <c r="A123" s="15">
        <v>6.0</v>
      </c>
      <c r="B123" s="15">
        <v>30.0</v>
      </c>
      <c r="C123" s="15" t="s">
        <v>90</v>
      </c>
      <c r="D123" s="15" t="s">
        <v>91</v>
      </c>
      <c r="E123" s="15">
        <v>52.0</v>
      </c>
      <c r="F123" s="37" t="str">
        <f>+2.023s</f>
        <v>#ERROR!</v>
      </c>
      <c r="G123" s="16">
        <v>8.0</v>
      </c>
    </row>
    <row r="124">
      <c r="A124" s="15">
        <v>7.0</v>
      </c>
      <c r="B124" s="15">
        <v>41.0</v>
      </c>
      <c r="C124" s="15" t="s">
        <v>112</v>
      </c>
      <c r="D124" s="15" t="s">
        <v>91</v>
      </c>
      <c r="E124" s="15">
        <v>52.0</v>
      </c>
      <c r="F124" s="37" t="str">
        <f>+2.214s</f>
        <v>#ERROR!</v>
      </c>
      <c r="G124" s="16">
        <v>6.0</v>
      </c>
    </row>
    <row r="125">
      <c r="A125" s="15">
        <v>8.0</v>
      </c>
      <c r="B125" s="15">
        <v>5.0</v>
      </c>
      <c r="C125" s="15" t="s">
        <v>127</v>
      </c>
      <c r="D125" s="15" t="s">
        <v>115</v>
      </c>
      <c r="E125" s="15">
        <v>52.0</v>
      </c>
      <c r="F125" s="37" t="str">
        <f>+2.413s</f>
        <v>#ERROR!</v>
      </c>
      <c r="G125" s="16">
        <v>4.0</v>
      </c>
    </row>
    <row r="126">
      <c r="A126" s="15">
        <v>9.0</v>
      </c>
      <c r="B126" s="15">
        <v>43.0</v>
      </c>
      <c r="C126" s="15" t="s">
        <v>100</v>
      </c>
      <c r="D126" s="15" t="s">
        <v>86</v>
      </c>
      <c r="E126" s="15">
        <v>52.0</v>
      </c>
      <c r="F126" s="37" t="str">
        <f>+3.229s</f>
        <v>#ERROR!</v>
      </c>
      <c r="G126" s="16">
        <v>2.0</v>
      </c>
    </row>
    <row r="127">
      <c r="A127" s="15">
        <v>10.0</v>
      </c>
      <c r="B127" s="15">
        <v>10.0</v>
      </c>
      <c r="C127" s="15" t="s">
        <v>85</v>
      </c>
      <c r="D127" s="15" t="s">
        <v>86</v>
      </c>
      <c r="E127" s="15">
        <v>52.0</v>
      </c>
      <c r="F127" s="37" t="str">
        <f>+3.445s</f>
        <v>#ERROR!</v>
      </c>
      <c r="G127" s="16">
        <v>1.0</v>
      </c>
    </row>
    <row r="129">
      <c r="A129" s="42" t="s">
        <v>128</v>
      </c>
    </row>
    <row r="130">
      <c r="A130" s="4" t="s">
        <v>7</v>
      </c>
      <c r="B130" s="4" t="s">
        <v>8</v>
      </c>
      <c r="C130" s="4" t="s">
        <v>9</v>
      </c>
      <c r="D130" s="4" t="s">
        <v>10</v>
      </c>
      <c r="E130" s="4" t="s">
        <v>11</v>
      </c>
      <c r="F130" s="4" t="s">
        <v>104</v>
      </c>
      <c r="G130" s="5" t="s">
        <v>12</v>
      </c>
    </row>
    <row r="131">
      <c r="A131" s="15">
        <v>1.0</v>
      </c>
      <c r="B131" s="15">
        <v>12.0</v>
      </c>
      <c r="C131" s="15" t="s">
        <v>17</v>
      </c>
      <c r="D131" s="15" t="s">
        <v>16</v>
      </c>
      <c r="E131" s="15">
        <v>44.0</v>
      </c>
      <c r="F131" s="38">
        <v>0.05882498842592593</v>
      </c>
      <c r="G131" s="16">
        <v>25.0</v>
      </c>
    </row>
    <row r="132">
      <c r="A132" s="15">
        <v>2.0</v>
      </c>
      <c r="B132" s="15">
        <v>16.0</v>
      </c>
      <c r="C132" s="15" t="s">
        <v>39</v>
      </c>
      <c r="D132" s="15" t="s">
        <v>40</v>
      </c>
      <c r="E132" s="15">
        <v>44.0</v>
      </c>
      <c r="F132" s="37" t="str">
        <f>+1.952s</f>
        <v>#ERROR!</v>
      </c>
      <c r="G132" s="16">
        <v>18.0</v>
      </c>
    </row>
    <row r="133">
      <c r="A133" s="15">
        <v>3.0</v>
      </c>
      <c r="B133" s="15">
        <v>3.0</v>
      </c>
      <c r="C133" s="15" t="s">
        <v>95</v>
      </c>
      <c r="D133" s="15" t="s">
        <v>94</v>
      </c>
      <c r="E133" s="15">
        <v>44.0</v>
      </c>
      <c r="F133" s="37" t="str">
        <f>+11.586s</f>
        <v>#ERROR!</v>
      </c>
      <c r="G133" s="16">
        <v>15.0</v>
      </c>
    </row>
    <row r="134">
      <c r="A134" s="15">
        <v>4.0</v>
      </c>
      <c r="B134" s="15">
        <v>44.0</v>
      </c>
      <c r="C134" s="15" t="s">
        <v>63</v>
      </c>
      <c r="D134" s="15" t="s">
        <v>40</v>
      </c>
      <c r="E134" s="15">
        <v>44.0</v>
      </c>
      <c r="F134" s="37" t="str">
        <f>+17.245s</f>
        <v>#ERROR!</v>
      </c>
      <c r="G134" s="16">
        <v>12.0</v>
      </c>
    </row>
    <row r="135">
      <c r="A135" s="15">
        <v>5.0</v>
      </c>
      <c r="B135" s="15">
        <v>81.0</v>
      </c>
      <c r="C135" s="15" t="s">
        <v>44</v>
      </c>
      <c r="D135" s="15" t="s">
        <v>45</v>
      </c>
      <c r="E135" s="15">
        <v>44.0</v>
      </c>
      <c r="F135" s="37" t="str">
        <f>+18.988s</f>
        <v>#ERROR!</v>
      </c>
      <c r="G135" s="16">
        <v>10.0</v>
      </c>
    </row>
    <row r="136">
      <c r="A136" s="15">
        <v>6.0</v>
      </c>
      <c r="B136" s="15">
        <v>6.0</v>
      </c>
      <c r="C136" s="15" t="s">
        <v>93</v>
      </c>
      <c r="D136" s="15" t="s">
        <v>94</v>
      </c>
      <c r="E136" s="15">
        <v>44.0</v>
      </c>
      <c r="F136" s="37" t="str">
        <f>+23.307s</f>
        <v>#ERROR!</v>
      </c>
      <c r="G136" s="16">
        <v>8.0</v>
      </c>
    </row>
    <row r="137">
      <c r="A137" s="15">
        <v>7.0</v>
      </c>
      <c r="B137" s="15">
        <v>1.0</v>
      </c>
      <c r="C137" s="15" t="s">
        <v>77</v>
      </c>
      <c r="D137" s="15" t="s">
        <v>45</v>
      </c>
      <c r="E137" s="15">
        <v>44.0</v>
      </c>
      <c r="F137" s="37" t="str">
        <f>+24.014s</f>
        <v>#ERROR!</v>
      </c>
      <c r="G137" s="16">
        <v>6.0</v>
      </c>
    </row>
    <row r="138">
      <c r="A138" s="15">
        <v>8.0</v>
      </c>
      <c r="B138" s="15">
        <v>5.0</v>
      </c>
      <c r="C138" s="15" t="s">
        <v>127</v>
      </c>
      <c r="D138" s="15" t="s">
        <v>115</v>
      </c>
      <c r="E138" s="15">
        <v>44.0</v>
      </c>
      <c r="F138" s="37" t="str">
        <f>+49.140s</f>
        <v>#ERROR!</v>
      </c>
      <c r="G138" s="16">
        <v>4.0</v>
      </c>
    </row>
    <row r="139">
      <c r="A139" s="15">
        <v>9.0</v>
      </c>
      <c r="B139" s="15">
        <v>41.0</v>
      </c>
      <c r="C139" s="15" t="s">
        <v>112</v>
      </c>
      <c r="D139" s="15" t="s">
        <v>91</v>
      </c>
      <c r="E139" s="15">
        <v>44.0</v>
      </c>
      <c r="F139" s="37" t="str">
        <f>+50.406s</f>
        <v>#ERROR!</v>
      </c>
      <c r="G139" s="16">
        <v>2.0</v>
      </c>
    </row>
    <row r="140">
      <c r="A140" s="15">
        <v>10.0</v>
      </c>
      <c r="B140" s="15">
        <v>43.0</v>
      </c>
      <c r="C140" s="15" t="s">
        <v>100</v>
      </c>
      <c r="D140" s="15" t="s">
        <v>86</v>
      </c>
      <c r="E140" s="15">
        <v>44.0</v>
      </c>
      <c r="F140" s="37" t="str">
        <f>+76.037s</f>
        <v>#ERROR!</v>
      </c>
      <c r="G140" s="16">
        <v>1.0</v>
      </c>
    </row>
    <row r="142">
      <c r="A142" s="42" t="s">
        <v>129</v>
      </c>
    </row>
    <row r="143">
      <c r="A143" s="4" t="s">
        <v>7</v>
      </c>
      <c r="B143" s="4" t="s">
        <v>8</v>
      </c>
      <c r="C143" s="4" t="s">
        <v>9</v>
      </c>
      <c r="D143" s="4" t="s">
        <v>10</v>
      </c>
      <c r="E143" s="4" t="s">
        <v>11</v>
      </c>
      <c r="F143" s="4" t="s">
        <v>104</v>
      </c>
      <c r="G143" s="5" t="s">
        <v>12</v>
      </c>
    </row>
    <row r="144">
      <c r="A144" s="15">
        <v>1.0</v>
      </c>
      <c r="B144" s="15">
        <v>1.0</v>
      </c>
      <c r="C144" s="15" t="s">
        <v>77</v>
      </c>
      <c r="D144" s="15" t="s">
        <v>45</v>
      </c>
      <c r="E144" s="15">
        <v>70.0</v>
      </c>
      <c r="F144" s="38">
        <v>0.06940023148148149</v>
      </c>
      <c r="G144" s="16">
        <v>25.0</v>
      </c>
    </row>
    <row r="145">
      <c r="A145" s="15">
        <v>2.0</v>
      </c>
      <c r="B145" s="15">
        <v>3.0</v>
      </c>
      <c r="C145" s="15" t="s">
        <v>95</v>
      </c>
      <c r="D145" s="15" t="s">
        <v>94</v>
      </c>
      <c r="E145" s="15">
        <v>70.0</v>
      </c>
      <c r="F145" s="37" t="str">
        <f>+15.080s</f>
        <v>#ERROR!</v>
      </c>
      <c r="G145" s="16">
        <v>18.0</v>
      </c>
    </row>
    <row r="146">
      <c r="A146" s="15">
        <v>3.0</v>
      </c>
      <c r="B146" s="15">
        <v>12.0</v>
      </c>
      <c r="C146" s="15" t="s">
        <v>17</v>
      </c>
      <c r="D146" s="15" t="s">
        <v>16</v>
      </c>
      <c r="E146" s="15">
        <v>70.0</v>
      </c>
      <c r="F146" s="37" t="str">
        <f>+18.728s</f>
        <v>#ERROR!</v>
      </c>
      <c r="G146" s="16">
        <v>15.0</v>
      </c>
    </row>
    <row r="147">
      <c r="A147" s="15">
        <v>4.0</v>
      </c>
      <c r="B147" s="15">
        <v>16.0</v>
      </c>
      <c r="C147" s="15" t="s">
        <v>39</v>
      </c>
      <c r="D147" s="15" t="s">
        <v>40</v>
      </c>
      <c r="E147" s="15">
        <v>70.0</v>
      </c>
      <c r="F147" s="37" t="str">
        <f>+23.840s</f>
        <v>#ERROR!</v>
      </c>
      <c r="G147" s="16">
        <v>12.0</v>
      </c>
    </row>
    <row r="148">
      <c r="A148" s="15">
        <v>5.0</v>
      </c>
      <c r="B148" s="15">
        <v>44.0</v>
      </c>
      <c r="C148" s="15" t="s">
        <v>63</v>
      </c>
      <c r="D148" s="15" t="s">
        <v>40</v>
      </c>
      <c r="E148" s="15">
        <v>70.0</v>
      </c>
      <c r="F148" s="37" t="str">
        <f>+24.540s</f>
        <v>#ERROR!</v>
      </c>
      <c r="G148" s="16">
        <v>10.0</v>
      </c>
    </row>
    <row r="149">
      <c r="A149" s="15">
        <v>6.0</v>
      </c>
      <c r="B149" s="15">
        <v>6.0</v>
      </c>
      <c r="C149" s="15" t="s">
        <v>93</v>
      </c>
      <c r="D149" s="15" t="s">
        <v>94</v>
      </c>
      <c r="E149" s="15">
        <v>70.0</v>
      </c>
      <c r="F149" s="37" t="str">
        <f>+55.488s</f>
        <v>#ERROR!</v>
      </c>
      <c r="G149" s="16">
        <v>8.0</v>
      </c>
    </row>
    <row r="150">
      <c r="A150" s="15">
        <v>7.0</v>
      </c>
      <c r="B150" s="15">
        <v>63.0</v>
      </c>
      <c r="C150" s="15" t="s">
        <v>15</v>
      </c>
      <c r="D150" s="15" t="s">
        <v>16</v>
      </c>
      <c r="E150" s="15">
        <v>70.0</v>
      </c>
      <c r="F150" s="37" t="str">
        <f>+57.503s</f>
        <v>#ERROR!</v>
      </c>
      <c r="G150" s="16">
        <v>6.0</v>
      </c>
    </row>
    <row r="151">
      <c r="A151" s="15">
        <v>8.0</v>
      </c>
      <c r="B151" s="15">
        <v>30.0</v>
      </c>
      <c r="C151" s="15" t="s">
        <v>90</v>
      </c>
      <c r="D151" s="15" t="s">
        <v>91</v>
      </c>
      <c r="E151" s="15">
        <v>69.0</v>
      </c>
      <c r="F151" s="37" t="str">
        <f>+1 lap</f>
        <v>#ERROR!</v>
      </c>
      <c r="G151" s="16">
        <v>4.0</v>
      </c>
    </row>
    <row r="152">
      <c r="A152" s="15">
        <v>9.0</v>
      </c>
      <c r="B152" s="15">
        <v>27.0</v>
      </c>
      <c r="C152" s="15" t="s">
        <v>130</v>
      </c>
      <c r="D152" s="15" t="s">
        <v>115</v>
      </c>
      <c r="E152" s="15">
        <v>69.0</v>
      </c>
      <c r="F152" s="37" t="str">
        <f>+1 lap</f>
        <v>#ERROR!</v>
      </c>
      <c r="G152" s="16">
        <v>2.0</v>
      </c>
    </row>
    <row r="153">
      <c r="A153" s="15">
        <v>10.0</v>
      </c>
      <c r="B153" s="15">
        <v>41.0</v>
      </c>
      <c r="C153" s="15" t="s">
        <v>112</v>
      </c>
      <c r="D153" s="15" t="s">
        <v>91</v>
      </c>
      <c r="E153" s="15">
        <v>69.0</v>
      </c>
      <c r="F153" s="37" t="str">
        <f>+1 lap</f>
        <v>#ERROR!</v>
      </c>
      <c r="G153" s="16">
        <v>1.0</v>
      </c>
    </row>
  </sheetData>
  <mergeCells count="9">
    <mergeCell ref="A51:G51"/>
    <mergeCell ref="A64:G64"/>
    <mergeCell ref="A1:D1"/>
    <mergeCell ref="E1:J1"/>
    <mergeCell ref="K1:P1"/>
    <mergeCell ref="Q1:U1"/>
    <mergeCell ref="A14:G14"/>
    <mergeCell ref="A26:G26"/>
    <mergeCell ref="A39:G39"/>
  </mergeCells>
  <drawing r:id="rId1"/>
</worksheet>
</file>